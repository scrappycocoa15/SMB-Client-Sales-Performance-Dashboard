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tables/table1.xml" ContentType="application/vnd.openxmlformats-officedocument.spreadsheetml.table+xml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tables/table2.xml" ContentType="application/vnd.openxmlformats-officedocument.spreadsheetml.table+xml"/>
  <Override PartName="/xl/customProperty9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apnam-my.sharepoint.com/personal/tim_downs_sap_com/Documents/Documents/Client Sales Docs/"/>
    </mc:Choice>
  </mc:AlternateContent>
  <xr:revisionPtr revIDLastSave="6" documentId="8_{AB3AD970-F984-6D44-B85F-DADA96693F76}" xr6:coauthVersionLast="47" xr6:coauthVersionMax="47" xr10:uidLastSave="{DE8587D2-5CD6-AF49-BD9E-4D427CAB0B2E}"/>
  <bookViews>
    <workbookView xWindow="0" yWindow="660" windowWidth="30240" windowHeight="17960" activeTab="1" xr2:uid="{0AB3B4C7-415A-4B0A-8F72-7C284F4A0F32}"/>
  </bookViews>
  <sheets>
    <sheet name="V2 MD Division Model USD 2-4-25" sheetId="1" state="hidden" r:id="rId1"/>
    <sheet name="Leader Quotas with Linearity" sheetId="6" r:id="rId2"/>
    <sheet name="Individual Quotas" sheetId="5" r:id="rId3"/>
    <sheet name="CSE Quotas with Linearity" sheetId="7" r:id="rId4"/>
    <sheet name="Quotas Summary" sheetId="10" r:id="rId5"/>
    <sheet name="Sheet1" sheetId="9" state="hidden" r:id="rId6"/>
    <sheet name="Additional Overassign" sheetId="3" state="hidden" r:id="rId7"/>
    <sheet name="Calc" sheetId="2" state="hidden" r:id="rId8"/>
    <sheet name="Premier Sales Credit calc" sheetId="4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DAT20" localSheetId="0">#REF!</definedName>
    <definedName name="_DAT20">'[1]No EMR CC 67'!#REF!</definedName>
    <definedName name="_xlnm._FilterDatabase" localSheetId="6" hidden="1">'Additional Overassign'!$A$1:$P$1</definedName>
    <definedName name="_xlnm._FilterDatabase" localSheetId="2" hidden="1">'Individual Quotas'!$A$1:$I$124</definedName>
    <definedName name="_xlnm._FilterDatabase" localSheetId="8" hidden="1">'Premier Sales Credit calc'!$A$1:$Q$88</definedName>
    <definedName name="Acct_map" localSheetId="0">#REF!</definedName>
    <definedName name="Acct_map">#REF!</definedName>
    <definedName name="Analytic_Ranking" localSheetId="0">OFFSET(#REF!,0,0,(COUNTA(#REF!)-2),17)</definedName>
    <definedName name="Analytic_Ranking">OFFSET([2]Analytic_Ranking!$A$3,0,0,(COUNTA([2]Analytic_Ranking!$A:$A)-2),17)</definedName>
    <definedName name="AS2DocOpenMode" hidden="1">"AS2DocumentEdit"</definedName>
    <definedName name="ausgabe">#REF!</definedName>
    <definedName name="ausgabe_en" localSheetId="0">#REF!</definedName>
    <definedName name="ausgabe_en">#REF!</definedName>
    <definedName name="BIP_Note35a_de" localSheetId="0">#REF!</definedName>
    <definedName name="BIP_Note35a_de">#REF!</definedName>
    <definedName name="BIP_Note35a_en" localSheetId="0">#REF!</definedName>
    <definedName name="BIP_Note35a_en">#REF!</definedName>
    <definedName name="BIP_Note35b_de" localSheetId="0">#REF!</definedName>
    <definedName name="BIP_Note35b_de">#REF!</definedName>
    <definedName name="BIP_Note35b_en" localSheetId="0">#REF!</definedName>
    <definedName name="BIP_Note35b_en">#REF!</definedName>
    <definedName name="BIP_Note35c_de" localSheetId="0">#REF!</definedName>
    <definedName name="BIP_Note35c_de">#REF!</definedName>
    <definedName name="BIP_Note35c_en" localSheetId="0">#REF!</definedName>
    <definedName name="BIP_Note35c_en">#REF!</definedName>
    <definedName name="BIP_Note35d_de" localSheetId="0">#REF!</definedName>
    <definedName name="BIP_Note35d_de">#REF!</definedName>
    <definedName name="BIP_Note35d_en" localSheetId="0">#REF!</definedName>
    <definedName name="BIP_Note35d_en">#REF!</definedName>
    <definedName name="BIP_Note35e_de" localSheetId="0">#REF!</definedName>
    <definedName name="BIP_Note35e_de">#REF!</definedName>
    <definedName name="BIP_Note35e_en" localSheetId="0">#REF!</definedName>
    <definedName name="BIP_Note35e_en">#REF!</definedName>
    <definedName name="BIP_Note35f_de" localSheetId="0">#REF!</definedName>
    <definedName name="BIP_Note35f_de">#REF!</definedName>
    <definedName name="BIP_Note35f_en" localSheetId="0">#REF!</definedName>
    <definedName name="BIP_Note35f_en">#REF!</definedName>
    <definedName name="bot" localSheetId="0">#REF!</definedName>
    <definedName name="bot">#REF!</definedName>
    <definedName name="breite" localSheetId="0">#REF!</definedName>
    <definedName name="breite">[3]Data!$1:$1</definedName>
    <definedName name="CC" localSheetId="0">#REF!</definedName>
    <definedName name="CC">#REF!</definedName>
    <definedName name="company_name" localSheetId="0">#REF!</definedName>
    <definedName name="company_name">#REF!</definedName>
    <definedName name="data" localSheetId="0">OFFSET('V2 MD Division Model USD 2-4-25'!start,0,0,COUNTA('V2 MD Division Model USD 2-4-25'!höhe),COUNTA('V2 MD Division Model USD 2-4-25'!breite))</definedName>
    <definedName name="data">OFFSET(start,0,0,COUNTA(höhe),COUNTA(breite))</definedName>
    <definedName name="DATA1" localSheetId="0">#REF!</definedName>
    <definedName name="DATA1">'[4]Local AM'!#REF!</definedName>
    <definedName name="DATA10" localSheetId="0">#REF!</definedName>
    <definedName name="DATA10">'[4]Local AM'!#REF!</definedName>
    <definedName name="DATA11" localSheetId="0">#REF!</definedName>
    <definedName name="DATA11">'[4]Local AM'!#REF!</definedName>
    <definedName name="DATA12" localSheetId="0">#REF!</definedName>
    <definedName name="DATA12">'[4]Local AM'!#REF!</definedName>
    <definedName name="DATA13" localSheetId="0">#REF!</definedName>
    <definedName name="DATA13">'[4]Local AM'!#REF!</definedName>
    <definedName name="DATA14" localSheetId="0">#REF!</definedName>
    <definedName name="DATA14">'[4]Local AM'!#REF!</definedName>
    <definedName name="DATA15" localSheetId="0">#REF!</definedName>
    <definedName name="DATA15">'[4]Local AM'!#REF!</definedName>
    <definedName name="DATA16" localSheetId="0">#REF!</definedName>
    <definedName name="DATA16">'[4]Local AM'!#REF!</definedName>
    <definedName name="DATA17" localSheetId="0">#REF!</definedName>
    <definedName name="DATA17">'[4]Local AM'!#REF!</definedName>
    <definedName name="DATA18" localSheetId="0">#REF!</definedName>
    <definedName name="DATA18">'[4]Local AM'!#REF!</definedName>
    <definedName name="DATA19" localSheetId="0">#REF!</definedName>
    <definedName name="DATA19">'[4]Local AM'!#REF!</definedName>
    <definedName name="DATA20" localSheetId="0">#REF!</definedName>
    <definedName name="DATA20">'[4]Local AM'!#REF!</definedName>
    <definedName name="DATA21" localSheetId="0">#REF!</definedName>
    <definedName name="DATA21">'[4]Local AM'!#REF!</definedName>
    <definedName name="DATA22" localSheetId="0">#REF!</definedName>
    <definedName name="DATA22">'[4]Local AM'!#REF!</definedName>
    <definedName name="DATA23" localSheetId="0">#REF!</definedName>
    <definedName name="DATA23">'[4]Local AM'!#REF!</definedName>
    <definedName name="DATA24" localSheetId="0">#REF!</definedName>
    <definedName name="DATA24">'[4]Local AM'!#REF!</definedName>
    <definedName name="DATA25" localSheetId="0">#REF!</definedName>
    <definedName name="DATA25">'[4]Local AM'!#REF!</definedName>
    <definedName name="DATA26" localSheetId="0">#REF!</definedName>
    <definedName name="DATA26">'[4]Local AM'!#REF!</definedName>
    <definedName name="DATA27" localSheetId="0">#REF!</definedName>
    <definedName name="DATA27">'[4]Local AM'!#REF!</definedName>
    <definedName name="DATA28" localSheetId="0">#REF!</definedName>
    <definedName name="DATA28">'[4]Local AM'!#REF!</definedName>
    <definedName name="DATA4" localSheetId="0">#REF!</definedName>
    <definedName name="DATA4">'[4]Local AM'!#REF!</definedName>
    <definedName name="DATA5" localSheetId="0">#REF!</definedName>
    <definedName name="DATA5">'[4]Local AM'!#REF!</definedName>
    <definedName name="DATA6" localSheetId="0">#REF!</definedName>
    <definedName name="DATA6">'[4]Local AM'!#REF!</definedName>
    <definedName name="DATA8" localSheetId="0">#REF!</definedName>
    <definedName name="DATA8">'[4]Local AM'!#REF!</definedName>
    <definedName name="DATA9" localSheetId="0">#REF!</definedName>
    <definedName name="DATA9">'[4]Local AM'!#REF!</definedName>
    <definedName name="Druckbereich_1" localSheetId="0">#REF!</definedName>
    <definedName name="Druckbereich_1">#REF!</definedName>
    <definedName name="EMPTY_LIST" localSheetId="0">#REF!</definedName>
    <definedName name="EMPTY_LIST">#REF!</definedName>
    <definedName name="f" localSheetId="0">#REF!</definedName>
    <definedName name="f">#REF!</definedName>
    <definedName name="find" localSheetId="0">#REF!</definedName>
    <definedName name="find">'[5]To Transfer'!#REF!</definedName>
    <definedName name="find1" localSheetId="0">#REF!</definedName>
    <definedName name="find1">'[5]To Transfer'!#REF!</definedName>
    <definedName name="FromEuroUpdated" localSheetId="0">#REF!</definedName>
    <definedName name="FromEuroUpdated">#REF!</definedName>
    <definedName name="FTE" localSheetId="0">#REF!</definedName>
    <definedName name="FTE">#REF!</definedName>
    <definedName name="FTE_Ass" localSheetId="0">#REF!</definedName>
    <definedName name="FTE_Ass">#REF!</definedName>
    <definedName name="GL_Ass" localSheetId="0">#REF!</definedName>
    <definedName name="GL_Ass">#REF!</definedName>
    <definedName name="GlobalCredit" localSheetId="0">OFFSET(#REF!,0,0,COUNTA(#REF!)-2,5)</definedName>
    <definedName name="GlobalCredit">OFFSET('[2]Analytic_Monthly Global Credit'!$A$3,0,0,COUNTA('[2]Analytic_Monthly Global Credit'!$A:$A)-2,5)</definedName>
    <definedName name="höhe" localSheetId="0">#REF!</definedName>
    <definedName name="höhe">[3]Data!$A:$A</definedName>
    <definedName name="IQ_ADDIN" hidden="1">"AUTO"</definedName>
    <definedName name="LastFromEur" localSheetId="0">#REF!</definedName>
    <definedName name="LastFromEur">[6]Admin!#REF!</definedName>
    <definedName name="LastToEur" localSheetId="0">#REF!</definedName>
    <definedName name="LastToEur">[6]Admin!#REF!</definedName>
    <definedName name="LastValue" localSheetId="0">#REF!</definedName>
    <definedName name="LastValue">[6]Admin!#REF!</definedName>
    <definedName name="LR_Mapp" localSheetId="0">#REF!</definedName>
    <definedName name="LR_Mapp">[6]Admin!#REF!</definedName>
    <definedName name="MonthlyCredit" localSheetId="0">OFFSET(#REF!,0,0,(COUNTA(#REF!)-2),6)</definedName>
    <definedName name="MonthlyCredit">OFFSET('[2]Analytic_Monthly Ind&amp;TeamCredit'!$A$3,0,0,(COUNTA('[2]Analytic_Monthly Ind&amp;TeamCredit'!$A:$A)-2),6)</definedName>
    <definedName name="name_1" localSheetId="0">#REF!</definedName>
    <definedName name="name_1">#REF!</definedName>
    <definedName name="name_1_en" localSheetId="0">#REF!</definedName>
    <definedName name="name_1_en">#REF!</definedName>
    <definedName name="Net_income" localSheetId="0">#REF!</definedName>
    <definedName name="Net_income">#REF!</definedName>
    <definedName name="Net_income_Ass" localSheetId="0">#REF!</definedName>
    <definedName name="Net_income_Ass">#REF!</definedName>
    <definedName name="NvsASD">"V2005-06-30"</definedName>
    <definedName name="NvsAutoDrillOk">"VN"</definedName>
    <definedName name="NvsElapsedTime">0.00020833333110204</definedName>
    <definedName name="NvsEndTime">38561.8308680556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"V14250"</definedName>
    <definedName name="NvsPanelEffdt">"V2005-04-20"</definedName>
    <definedName name="NvsPanelSetid">"VSHARE"</definedName>
    <definedName name="NvsReqBU">"V10000"</definedName>
    <definedName name="NvsReqBUOnly">"VY"</definedName>
    <definedName name="NvsTransLed">"VN"</definedName>
    <definedName name="NvsTreeASD">"V2005-06-30"</definedName>
    <definedName name="NvsValTbl.ACCOUNT">"GL_ACCOUNT_TBL"</definedName>
    <definedName name="NvsValTbl.CURRENCY_CD">"CURRENCY_CD_TBL"</definedName>
    <definedName name="Ownership_Ass">#REF!</definedName>
    <definedName name="People" localSheetId="0">OFFSET(#REF!,0,0,COUNTA(#REF!),50)</definedName>
    <definedName name="People">OFFSET('[2]Incent People_Latest Version'!$A$1,0,0,COUNTA('[2]Incent People_Latest Version'!$A:$A),50)</definedName>
    <definedName name="Pivotdata" localSheetId="0">#REF!</definedName>
    <definedName name="Pivotdata">[3]Pivot!$A$6:$AK$121</definedName>
    <definedName name="Position" localSheetId="0">OFFSET(#REF!,0,0,COUNTA(#REF!),9)</definedName>
    <definedName name="Position">OFFSET('[2]Incent Position_Latest Version'!$A$1,0,0,COUNTA('[2]Incent Position_Latest Version'!$A:$A),9)</definedName>
    <definedName name="_xlnm.Print_Area" localSheetId="0">#REF!</definedName>
    <definedName name="_xlnm.Print_Area">#REF!</definedName>
    <definedName name="prog_1" localSheetId="0">#REF!</definedName>
    <definedName name="prog_1">#REF!</definedName>
    <definedName name="prog_2" localSheetId="0">#REF!</definedName>
    <definedName name="prog_2">#REF!</definedName>
    <definedName name="prog_3" localSheetId="0">#REF!</definedName>
    <definedName name="prog_3">#REF!</definedName>
    <definedName name="PromoCredit" localSheetId="0">OFFSET(#REF!,0,0,(COUNTA(#REF!)-2),6)</definedName>
    <definedName name="PromoCredit">OFFSET('[2]Analytic_Monthly PromoCredit'!$A$3,0,0,(COUNTA('[2]Analytic_Monthly PromoCredit'!$A:$A)-2),6)</definedName>
    <definedName name="Quota" localSheetId="0">OFFSET(#REF!,0,0,COUNTA(#REF!),25)</definedName>
    <definedName name="Quota">OFFSET('[2]Incent Quota'!$A$1,0,0,COUNTA('[2]Incent Quota'!$A:$A),25)</definedName>
    <definedName name="Recover" localSheetId="0">#REF!</definedName>
    <definedName name="Recover">[7]Macro1!$A$142</definedName>
    <definedName name="Revenue" localSheetId="0">#REF!</definedName>
    <definedName name="Revenue">#REF!</definedName>
    <definedName name="Revenue_Ass" localSheetId="0">#REF!</definedName>
    <definedName name="Revenue_Ass">#REF!</definedName>
    <definedName name="rngCFO_FA" localSheetId="0">#REF!</definedName>
    <definedName name="rngCFO_FA">#REF!</definedName>
    <definedName name="rngCFOs" localSheetId="0">#REF!</definedName>
    <definedName name="rngCFOs">#REF!</definedName>
    <definedName name="rngCFR" localSheetId="0">#REF!</definedName>
    <definedName name="rngCFR">#REF!</definedName>
    <definedName name="rngFAs" localSheetId="0">#REF!</definedName>
    <definedName name="rngFAs">#REF!</definedName>
    <definedName name="Shareholders_Equity" localSheetId="0">#REF!</definedName>
    <definedName name="Shareholders_Equity">#REF!</definedName>
    <definedName name="Shareholders_Equity_Ass" localSheetId="0">#REF!</definedName>
    <definedName name="Shareholders_Equity_Ass">#REF!</definedName>
    <definedName name="short_text" localSheetId="0">#REF!</definedName>
    <definedName name="short_text">#REF!</definedName>
    <definedName name="spalte_wert_1" localSheetId="0">#REF!</definedName>
    <definedName name="spalte_wert_1">#REF!</definedName>
    <definedName name="spalte_wert_1_en" localSheetId="0">#REF!</definedName>
    <definedName name="spalte_wert_1_en">#REF!</definedName>
    <definedName name="spalte_wert_2" localSheetId="0">#REF!</definedName>
    <definedName name="spalte_wert_2">#REF!</definedName>
    <definedName name="spalte_wert_2_en" localSheetId="0">#REF!</definedName>
    <definedName name="spalte_wert_2_en">#REF!</definedName>
    <definedName name="spalte_wert_3" localSheetId="0">#REF!</definedName>
    <definedName name="spalte_wert_3">#REF!</definedName>
    <definedName name="spalte_wert_3_en" localSheetId="0">#REF!</definedName>
    <definedName name="spalte_wert_3_en">#REF!</definedName>
    <definedName name="start" localSheetId="0">#REF!</definedName>
    <definedName name="start">[3]Data!$A$1</definedName>
    <definedName name="TableName">"Dummy"</definedName>
    <definedName name="TEST10" localSheetId="0">#REF!</definedName>
    <definedName name="TEST10">[8]DL!#REF!</definedName>
    <definedName name="TEST11" localSheetId="0">#REF!</definedName>
    <definedName name="TEST11">[8]DL!#REF!</definedName>
    <definedName name="TEST12" localSheetId="0">#REF!</definedName>
    <definedName name="TEST12">[8]DL!#REF!</definedName>
    <definedName name="TEST13" localSheetId="0">#REF!</definedName>
    <definedName name="TEST13">[8]DL!#REF!</definedName>
    <definedName name="TEST14" localSheetId="0">#REF!</definedName>
    <definedName name="TEST14">[8]DL!#REF!</definedName>
    <definedName name="TEST15" localSheetId="0">#REF!</definedName>
    <definedName name="TEST15">[8]DL!#REF!</definedName>
    <definedName name="TEST16" localSheetId="0">#REF!</definedName>
    <definedName name="TEST16">[8]DL!#REF!</definedName>
    <definedName name="TEST17" localSheetId="0">#REF!</definedName>
    <definedName name="TEST17">[8]DL!#REF!</definedName>
    <definedName name="TEST18" localSheetId="0">#REF!</definedName>
    <definedName name="TEST18">[8]DL!#REF!</definedName>
    <definedName name="TEST19" localSheetId="0">#REF!</definedName>
    <definedName name="TEST19">[8]DL!#REF!</definedName>
    <definedName name="TEST2" localSheetId="0">#REF!</definedName>
    <definedName name="TEST2">[8]DL!#REF!</definedName>
    <definedName name="TEST20" localSheetId="0">#REF!</definedName>
    <definedName name="TEST20">'[1]No EMR CC 67'!#REF!</definedName>
    <definedName name="TEST21" localSheetId="0">#REF!</definedName>
    <definedName name="TEST21">'[1]No EMR CC 67'!#REF!</definedName>
    <definedName name="TEST22" localSheetId="0">#REF!</definedName>
    <definedName name="TEST22">'[1]No EMR CC 67'!#REF!</definedName>
    <definedName name="TEST23" localSheetId="0">#REF!</definedName>
    <definedName name="TEST23">'[1]No EMR CC 67'!#REF!</definedName>
    <definedName name="TEST24" localSheetId="0">#REF!</definedName>
    <definedName name="TEST24">'[1]No EMR CC 67'!#REF!</definedName>
    <definedName name="TEST25" localSheetId="0">#REF!</definedName>
    <definedName name="TEST25">'[1]No EMR CC 67'!#REF!</definedName>
    <definedName name="TEST26" localSheetId="0">#REF!</definedName>
    <definedName name="TEST26">'[1]No EMR CC 67'!#REF!</definedName>
    <definedName name="TEST27" localSheetId="0">#REF!</definedName>
    <definedName name="TEST27">'[1]No EMR CC 67'!#REF!</definedName>
    <definedName name="TEST28" localSheetId="0">#REF!</definedName>
    <definedName name="TEST28">'[1]No EMR CC 67'!#REF!</definedName>
    <definedName name="TEST29" localSheetId="0">#REF!</definedName>
    <definedName name="TEST29">'[1]No EMR CC 67'!#REF!</definedName>
    <definedName name="TEST3" localSheetId="0">#REF!</definedName>
    <definedName name="TEST3">[8]DL!#REF!</definedName>
    <definedName name="TEST30" localSheetId="0">#REF!</definedName>
    <definedName name="TEST30">'[9]No EMR CC'!#REF!</definedName>
    <definedName name="TEST31" localSheetId="0">#REF!</definedName>
    <definedName name="TEST31">'[9]No EMR CC'!#REF!</definedName>
    <definedName name="TEST32" localSheetId="0">#REF!</definedName>
    <definedName name="TEST32">'[9]No EMR CC'!#REF!</definedName>
    <definedName name="TEST33" localSheetId="0">#REF!</definedName>
    <definedName name="TEST33">'[9]No EMR CC'!#REF!</definedName>
    <definedName name="TEST34" localSheetId="0">#REF!</definedName>
    <definedName name="TEST34">'[9]No EMR CC'!#REF!</definedName>
    <definedName name="TEST35" localSheetId="0">#REF!</definedName>
    <definedName name="TEST35">'[10]No EMR CC 32'!#REF!</definedName>
    <definedName name="TEST36" localSheetId="0">#REF!</definedName>
    <definedName name="TEST36">'[11]No EMR CC 31'!#REF!</definedName>
    <definedName name="TEST37" localSheetId="0">#REF!</definedName>
    <definedName name="TEST37">'[12]No EMR CC 49'!#REF!</definedName>
    <definedName name="TEST4" localSheetId="0">#REF!</definedName>
    <definedName name="TEST4">[8]DL!#REF!</definedName>
    <definedName name="TEST5" localSheetId="0">#REF!</definedName>
    <definedName name="TEST5">[8]DL!#REF!</definedName>
    <definedName name="TEST6" localSheetId="0">#REF!</definedName>
    <definedName name="TEST6">[8]DL!#REF!</definedName>
    <definedName name="TEST7" localSheetId="0">#REF!</definedName>
    <definedName name="TEST7">[8]DL!#REF!</definedName>
    <definedName name="TEST8" localSheetId="0">#REF!</definedName>
    <definedName name="TEST8">[8]DL!#REF!</definedName>
    <definedName name="TEST9" localSheetId="0">#REF!</definedName>
    <definedName name="TEST9">[8]DL!#REF!</definedName>
    <definedName name="TESTHKEY" localSheetId="0">#REF!</definedName>
    <definedName name="TESTHKEY">'[4]Local AM'!#REF!</definedName>
    <definedName name="to" localSheetId="0">#REF!</definedName>
    <definedName name="to">#REF!</definedName>
    <definedName name="ToEuroUpdated" localSheetId="0">#REF!</definedName>
    <definedName name="ToEuroUpdated">'[13]2023 TGT Rates'!#REF!</definedName>
    <definedName name="value_1" localSheetId="0">#REF!</definedName>
    <definedName name="value_1">#REF!</definedName>
    <definedName name="value_1_en" localSheetId="0">#REF!</definedName>
    <definedName name="value_1_en">#REF!</definedName>
    <definedName name="value_2" localSheetId="0">#REF!</definedName>
    <definedName name="value_2">#REF!</definedName>
    <definedName name="value_2_en" localSheetId="0">#REF!</definedName>
    <definedName name="value_2_en">#REF!</definedName>
    <definedName name="value_3" localSheetId="0">#REF!</definedName>
    <definedName name="value_3">#REF!</definedName>
    <definedName name="value_3_en" localSheetId="0">#REF!</definedName>
    <definedName name="value_3_e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0" l="1"/>
  <c r="K10" i="10"/>
  <c r="I10" i="10"/>
  <c r="J9" i="10"/>
  <c r="K9" i="10"/>
  <c r="I9" i="10"/>
  <c r="L6" i="10"/>
  <c r="L4" i="10"/>
  <c r="I6" i="10"/>
  <c r="I5" i="10"/>
  <c r="L5" i="10" s="1"/>
  <c r="J5" i="10"/>
  <c r="J6" i="10" s="1"/>
  <c r="K5" i="10"/>
  <c r="K6" i="10" s="1"/>
  <c r="C23" i="6"/>
  <c r="C22" i="6"/>
  <c r="C21" i="6"/>
  <c r="C23" i="10"/>
  <c r="C22" i="10"/>
  <c r="C24" i="10" s="1"/>
  <c r="C25" i="10" s="1"/>
  <c r="D21" i="10"/>
  <c r="D22" i="10" s="1"/>
  <c r="D24" i="10" s="1"/>
  <c r="C21" i="10"/>
  <c r="B21" i="10"/>
  <c r="B22" i="10" s="1"/>
  <c r="B24" i="10" s="1"/>
  <c r="B25" i="10" s="1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K84" i="5"/>
  <c r="J85" i="5"/>
  <c r="J86" i="5"/>
  <c r="J87" i="5"/>
  <c r="J88" i="5"/>
  <c r="K88" i="5"/>
  <c r="J89" i="5"/>
  <c r="K89" i="5"/>
  <c r="J90" i="5"/>
  <c r="J91" i="5"/>
  <c r="J92" i="5"/>
  <c r="K92" i="5"/>
  <c r="J93" i="5"/>
  <c r="J94" i="5"/>
  <c r="J95" i="5"/>
  <c r="K95" i="5"/>
  <c r="J96" i="5"/>
  <c r="K96" i="5"/>
  <c r="J97" i="5"/>
  <c r="J98" i="5"/>
  <c r="J99" i="5"/>
  <c r="J100" i="5"/>
  <c r="K100" i="5"/>
  <c r="J101" i="5"/>
  <c r="K101" i="5"/>
  <c r="J102" i="5"/>
  <c r="K102" i="5"/>
  <c r="J103" i="5"/>
  <c r="K103" i="5"/>
  <c r="J104" i="5"/>
  <c r="K104" i="5"/>
  <c r="J105" i="5"/>
  <c r="K105" i="5"/>
  <c r="J106" i="5"/>
  <c r="K106" i="5"/>
  <c r="J107" i="5"/>
  <c r="K107" i="5"/>
  <c r="J108" i="5"/>
  <c r="K108" i="5"/>
  <c r="J109" i="5"/>
  <c r="J110" i="5"/>
  <c r="J111" i="5"/>
  <c r="J112" i="5"/>
  <c r="K112" i="5"/>
  <c r="J113" i="5"/>
  <c r="K113" i="5"/>
  <c r="J114" i="5"/>
  <c r="J115" i="5"/>
  <c r="K115" i="5"/>
  <c r="J116" i="5"/>
  <c r="K116" i="5"/>
  <c r="J117" i="5"/>
  <c r="J118" i="5"/>
  <c r="J119" i="5"/>
  <c r="J120" i="5"/>
  <c r="J121" i="5"/>
  <c r="J122" i="5"/>
  <c r="J123" i="5"/>
  <c r="J124" i="5"/>
  <c r="J21" i="5"/>
  <c r="E2" i="10"/>
  <c r="C3" i="10" s="1"/>
  <c r="C6" i="10" s="1"/>
  <c r="C9" i="10" s="1"/>
  <c r="C10" i="10" s="1"/>
  <c r="F3" i="3"/>
  <c r="F4" i="3"/>
  <c r="F2" i="3"/>
  <c r="C4" i="3"/>
  <c r="D4" i="3"/>
  <c r="C3" i="3"/>
  <c r="D3" i="3"/>
  <c r="C2" i="3"/>
  <c r="D2" i="3"/>
  <c r="J15" i="2"/>
  <c r="K18" i="2"/>
  <c r="L18" i="2"/>
  <c r="J19" i="2"/>
  <c r="K19" i="2"/>
  <c r="L19" i="2"/>
  <c r="J18" i="2"/>
  <c r="J20" i="2"/>
  <c r="K20" i="2"/>
  <c r="L20" i="2"/>
  <c r="J21" i="2"/>
  <c r="J40" i="1" a="1"/>
  <c r="J33" i="1" a="1"/>
  <c r="L33" i="1" a="1"/>
  <c r="M33" i="1" a="1"/>
  <c r="K33" i="1" a="1"/>
  <c r="L23" i="1" a="1"/>
  <c r="L37" i="1"/>
  <c r="L40" i="1" a="1"/>
  <c r="M23" i="1" a="1"/>
  <c r="M37" i="1"/>
  <c r="M40" i="1" a="1"/>
  <c r="K23" i="1" a="1"/>
  <c r="K37" i="1"/>
  <c r="K40" i="1" a="1"/>
  <c r="K26" i="1"/>
  <c r="K28" i="1"/>
  <c r="K32" i="1"/>
  <c r="K21" i="1" a="1"/>
  <c r="L21" i="1" a="1"/>
  <c r="M21" i="1" a="1"/>
  <c r="J21" i="1" a="1"/>
  <c r="J7" i="1"/>
  <c r="G18" i="2"/>
  <c r="H18" i="2"/>
  <c r="G19" i="2"/>
  <c r="H19" i="2"/>
  <c r="G20" i="2"/>
  <c r="H20" i="2"/>
  <c r="F21" i="2"/>
  <c r="G21" i="2"/>
  <c r="H21" i="2"/>
  <c r="E21" i="2"/>
  <c r="E20" i="2"/>
  <c r="E19" i="2"/>
  <c r="E18" i="2"/>
  <c r="K15" i="2"/>
  <c r="J23" i="1"/>
  <c r="M28" i="1"/>
  <c r="M32" i="1"/>
  <c r="L28" i="1"/>
  <c r="L32" i="1"/>
  <c r="M26" i="1"/>
  <c r="L26" i="1"/>
  <c r="J24" i="1"/>
  <c r="J26" i="1"/>
  <c r="J28" i="1"/>
  <c r="J32" i="1"/>
  <c r="J34" i="1"/>
  <c r="K34" i="1"/>
  <c r="L34" i="1"/>
  <c r="M34" i="1"/>
  <c r="M46" i="1"/>
  <c r="M47" i="1"/>
  <c r="L46" i="1"/>
  <c r="L48" i="1"/>
  <c r="K46" i="1"/>
  <c r="K48" i="1"/>
  <c r="F22" i="1"/>
  <c r="F21" i="1"/>
  <c r="G22" i="1"/>
  <c r="I22" i="1"/>
  <c r="I24" i="1"/>
  <c r="I37" i="1"/>
  <c r="F25" i="1"/>
  <c r="F27" i="1"/>
  <c r="G27" i="1"/>
  <c r="H27" i="1"/>
  <c r="I27" i="1"/>
  <c r="G29" i="1"/>
  <c r="H29" i="1"/>
  <c r="I29" i="1"/>
  <c r="F30" i="1"/>
  <c r="F45" i="1"/>
  <c r="F31" i="1"/>
  <c r="F33" i="1"/>
  <c r="G32" i="1"/>
  <c r="G50" i="1"/>
  <c r="H32" i="1"/>
  <c r="J19" i="1"/>
  <c r="G8" i="1"/>
  <c r="G11" i="1"/>
  <c r="H11" i="1"/>
  <c r="H2" i="1"/>
  <c r="H3" i="1"/>
  <c r="Q7" i="1"/>
  <c r="Q10" i="1"/>
  <c r="A8" i="1"/>
  <c r="B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R27" i="1"/>
  <c r="S27" i="1"/>
  <c r="T27" i="1"/>
  <c r="U27" i="1"/>
  <c r="V27" i="1"/>
  <c r="W27" i="1"/>
  <c r="J50" i="1"/>
  <c r="K35" i="1"/>
  <c r="L35" i="1"/>
  <c r="M50" i="1"/>
  <c r="G38" i="1"/>
  <c r="H38" i="1"/>
  <c r="G43" i="1"/>
  <c r="H43" i="1"/>
  <c r="I43" i="1"/>
  <c r="F44" i="1"/>
  <c r="G45" i="1"/>
  <c r="H45" i="1"/>
  <c r="F46" i="1"/>
  <c r="G47" i="1"/>
  <c r="H47" i="1"/>
  <c r="G48" i="1"/>
  <c r="H48" i="1"/>
  <c r="M48" i="1"/>
  <c r="K47" i="1"/>
  <c r="L47" i="1"/>
  <c r="F32" i="1"/>
  <c r="F47" i="1"/>
  <c r="F29" i="1"/>
  <c r="H50" i="1"/>
  <c r="F50" i="1"/>
  <c r="G24" i="1"/>
  <c r="F24" i="1"/>
  <c r="H22" i="1"/>
  <c r="G21" i="1"/>
  <c r="J35" i="1"/>
  <c r="G35" i="1"/>
  <c r="H35" i="1"/>
  <c r="L50" i="1"/>
  <c r="K50" i="1"/>
  <c r="M49" i="1"/>
  <c r="F48" i="1"/>
  <c r="K49" i="1"/>
  <c r="F8" i="1"/>
  <c r="I7" i="1"/>
  <c r="I20" i="1"/>
  <c r="M35" i="1"/>
  <c r="F43" i="1"/>
  <c r="L49" i="1"/>
  <c r="H49" i="1"/>
  <c r="G49" i="1"/>
  <c r="F38" i="1"/>
  <c r="J48" i="1"/>
  <c r="G51" i="1"/>
  <c r="H21" i="1"/>
  <c r="H24" i="1"/>
  <c r="H7" i="1"/>
  <c r="H34" i="1"/>
  <c r="F49" i="1"/>
  <c r="G37" i="1"/>
  <c r="G39" i="1"/>
  <c r="G7" i="1"/>
  <c r="J49" i="1"/>
  <c r="I3" i="1"/>
  <c r="M5" i="1"/>
  <c r="H20" i="1"/>
  <c r="J51" i="1"/>
  <c r="F7" i="1"/>
  <c r="I2" i="1"/>
  <c r="G34" i="1"/>
  <c r="G20" i="1"/>
  <c r="G40" i="1"/>
  <c r="F11" i="1"/>
  <c r="Q22" i="1"/>
  <c r="R22" i="1"/>
  <c r="F20" i="1"/>
  <c r="F34" i="1"/>
  <c r="K51" i="1"/>
  <c r="G3" i="1"/>
  <c r="G2" i="1"/>
  <c r="M51" i="1"/>
  <c r="L51" i="1"/>
  <c r="F37" i="1"/>
  <c r="F40" i="1"/>
  <c r="F39" i="1"/>
  <c r="F8" i="7"/>
  <c r="Q8" i="7" s="1"/>
  <c r="E8" i="7"/>
  <c r="N8" i="7" s="1"/>
  <c r="D8" i="7"/>
  <c r="L8" i="7" s="1"/>
  <c r="C8" i="7"/>
  <c r="I8" i="7" s="1"/>
  <c r="F7" i="7"/>
  <c r="P7" i="7" s="1"/>
  <c r="E7" i="7"/>
  <c r="O7" i="7" s="1"/>
  <c r="D7" i="7"/>
  <c r="J7" i="7" s="1"/>
  <c r="C7" i="7"/>
  <c r="H7" i="7" s="1"/>
  <c r="D6" i="7"/>
  <c r="K6" i="7" s="1"/>
  <c r="E12" i="6"/>
  <c r="K12" i="6"/>
  <c r="D11" i="6"/>
  <c r="H11" i="6"/>
  <c r="F11" i="6"/>
  <c r="N11" i="6"/>
  <c r="E14" i="6"/>
  <c r="L14" i="6"/>
  <c r="G13" i="6"/>
  <c r="R13" i="6"/>
  <c r="F15" i="6"/>
  <c r="P15" i="6"/>
  <c r="E9" i="6"/>
  <c r="L9" i="6"/>
  <c r="D22" i="6"/>
  <c r="I22" i="6"/>
  <c r="G21" i="6"/>
  <c r="Q21" i="6"/>
  <c r="E23" i="6"/>
  <c r="K23" i="6"/>
  <c r="L23" i="6"/>
  <c r="E10" i="6"/>
  <c r="K10" i="6"/>
  <c r="K37" i="5"/>
  <c r="K38" i="5"/>
  <c r="K59" i="5"/>
  <c r="K70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60" i="5"/>
  <c r="K61" i="5"/>
  <c r="K62" i="5"/>
  <c r="K63" i="5"/>
  <c r="K64" i="5"/>
  <c r="K65" i="5"/>
  <c r="K66" i="5"/>
  <c r="K67" i="5"/>
  <c r="K68" i="5"/>
  <c r="K69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5" i="5"/>
  <c r="K86" i="5"/>
  <c r="K87" i="5"/>
  <c r="K90" i="5"/>
  <c r="K91" i="5"/>
  <c r="K93" i="5"/>
  <c r="K94" i="5"/>
  <c r="K97" i="5"/>
  <c r="K98" i="5"/>
  <c r="K99" i="5"/>
  <c r="K109" i="5"/>
  <c r="K110" i="5"/>
  <c r="K111" i="5"/>
  <c r="K114" i="5"/>
  <c r="K117" i="5"/>
  <c r="K118" i="5"/>
  <c r="K119" i="5"/>
  <c r="K120" i="5"/>
  <c r="K121" i="5"/>
  <c r="K122" i="5"/>
  <c r="K123" i="5"/>
  <c r="K124" i="5"/>
  <c r="K21" i="5"/>
  <c r="J11" i="5"/>
  <c r="K11" i="5"/>
  <c r="J10" i="5"/>
  <c r="K10" i="5"/>
  <c r="J9" i="5"/>
  <c r="K9" i="5"/>
  <c r="J8" i="5"/>
  <c r="K8" i="5"/>
  <c r="J16" i="5"/>
  <c r="K16" i="5"/>
  <c r="J17" i="5"/>
  <c r="K17" i="5"/>
  <c r="J15" i="5"/>
  <c r="K15" i="5"/>
  <c r="J13" i="5"/>
  <c r="K13" i="5"/>
  <c r="J14" i="5"/>
  <c r="K14" i="5"/>
  <c r="J12" i="5"/>
  <c r="K12" i="5"/>
  <c r="J3" i="5"/>
  <c r="K3" i="5"/>
  <c r="J4" i="5"/>
  <c r="K4" i="5"/>
  <c r="J5" i="5"/>
  <c r="K5" i="5"/>
  <c r="E19" i="6"/>
  <c r="M19" i="6"/>
  <c r="J6" i="5"/>
  <c r="K6" i="5"/>
  <c r="J7" i="5"/>
  <c r="K7" i="5"/>
  <c r="J2" i="5"/>
  <c r="K2" i="5"/>
  <c r="H116" i="5"/>
  <c r="H117" i="5"/>
  <c r="H57" i="5"/>
  <c r="H50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1" i="5"/>
  <c r="H52" i="5"/>
  <c r="H53" i="5"/>
  <c r="H54" i="5"/>
  <c r="H55" i="5"/>
  <c r="H56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8" i="5"/>
  <c r="H119" i="5"/>
  <c r="H120" i="5"/>
  <c r="H121" i="5"/>
  <c r="H122" i="5"/>
  <c r="H123" i="5"/>
  <c r="H124" i="5"/>
  <c r="H21" i="5"/>
  <c r="F7" i="6"/>
  <c r="N7" i="6"/>
  <c r="F6" i="6"/>
  <c r="O6" i="6"/>
  <c r="E20" i="6"/>
  <c r="K20" i="6"/>
  <c r="D18" i="6"/>
  <c r="H18" i="6"/>
  <c r="D17" i="6"/>
  <c r="H17" i="6"/>
  <c r="D16" i="6"/>
  <c r="I16" i="6"/>
  <c r="E13" i="6"/>
  <c r="L13" i="6"/>
  <c r="F19" i="6"/>
  <c r="P19" i="6"/>
  <c r="D19" i="6"/>
  <c r="I19" i="6"/>
  <c r="F18" i="6"/>
  <c r="N18" i="6"/>
  <c r="E18" i="6"/>
  <c r="K18" i="6"/>
  <c r="G12" i="6"/>
  <c r="R12" i="6"/>
  <c r="F12" i="6"/>
  <c r="O12" i="6"/>
  <c r="G19" i="6"/>
  <c r="Q19" i="6"/>
  <c r="F14" i="2"/>
  <c r="E10" i="2"/>
  <c r="E6" i="2"/>
  <c r="E2" i="2"/>
  <c r="J2" i="2"/>
  <c r="K2" i="2"/>
  <c r="D21" i="6"/>
  <c r="J21" i="6"/>
  <c r="D20" i="6"/>
  <c r="J20" i="6"/>
  <c r="G20" i="6"/>
  <c r="Q20" i="6"/>
  <c r="F20" i="6"/>
  <c r="P20" i="6"/>
  <c r="E21" i="6"/>
  <c r="M21" i="6"/>
  <c r="F16" i="6"/>
  <c r="N16" i="6"/>
  <c r="E16" i="6"/>
  <c r="L16" i="6"/>
  <c r="G16" i="6"/>
  <c r="R16" i="6"/>
  <c r="E17" i="6"/>
  <c r="K17" i="6"/>
  <c r="F17" i="6"/>
  <c r="O17" i="6"/>
  <c r="G17" i="6"/>
  <c r="R17" i="6"/>
  <c r="G6" i="6"/>
  <c r="Q6" i="6"/>
  <c r="E6" i="6"/>
  <c r="M6" i="6"/>
  <c r="D7" i="6"/>
  <c r="H7" i="6"/>
  <c r="E7" i="6"/>
  <c r="M7" i="6"/>
  <c r="G7" i="6"/>
  <c r="R7" i="6"/>
  <c r="D6" i="6"/>
  <c r="J6" i="6"/>
  <c r="I6" i="6"/>
  <c r="F14" i="6"/>
  <c r="P14" i="6"/>
  <c r="G18" i="6"/>
  <c r="Q18" i="6"/>
  <c r="F22" i="6"/>
  <c r="O22" i="6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P14" i="2"/>
  <c r="J3" i="3"/>
  <c r="J4" i="3"/>
  <c r="J2" i="3"/>
  <c r="E3" i="3"/>
  <c r="E4" i="3"/>
  <c r="E2" i="3"/>
  <c r="J10" i="2"/>
  <c r="J6" i="2"/>
  <c r="K6" i="2"/>
  <c r="H4" i="3"/>
  <c r="L4" i="3"/>
  <c r="H3" i="3"/>
  <c r="I3" i="3"/>
  <c r="I14" i="2"/>
  <c r="K4" i="3"/>
  <c r="K3" i="3"/>
  <c r="K2" i="3"/>
  <c r="H2" i="3"/>
  <c r="I2" i="3"/>
  <c r="C6" i="7"/>
  <c r="G6" i="7" s="1"/>
  <c r="E6" i="7"/>
  <c r="O6" i="7" s="1"/>
  <c r="F6" i="7"/>
  <c r="P6" i="7" s="1"/>
  <c r="D12" i="6"/>
  <c r="I12" i="6"/>
  <c r="E11" i="6"/>
  <c r="L11" i="6"/>
  <c r="G11" i="6"/>
  <c r="S11" i="6"/>
  <c r="G14" i="6"/>
  <c r="R14" i="6"/>
  <c r="D14" i="6"/>
  <c r="J14" i="6"/>
  <c r="D13" i="6"/>
  <c r="H13" i="6"/>
  <c r="F13" i="6"/>
  <c r="N13" i="6"/>
  <c r="E15" i="6"/>
  <c r="M15" i="6"/>
  <c r="D15" i="6"/>
  <c r="I15" i="6"/>
  <c r="G15" i="6"/>
  <c r="R15" i="6"/>
  <c r="G9" i="6"/>
  <c r="S9" i="6"/>
  <c r="F9" i="6"/>
  <c r="P9" i="6"/>
  <c r="D9" i="6"/>
  <c r="J9" i="6"/>
  <c r="G22" i="6"/>
  <c r="S22" i="6"/>
  <c r="E22" i="6"/>
  <c r="K22" i="6"/>
  <c r="F21" i="6"/>
  <c r="O21" i="6"/>
  <c r="C24" i="6"/>
  <c r="D24" i="6"/>
  <c r="D23" i="6"/>
  <c r="I23" i="6"/>
  <c r="F23" i="6"/>
  <c r="P23" i="6"/>
  <c r="G23" i="6"/>
  <c r="R23" i="6"/>
  <c r="F10" i="6"/>
  <c r="P10" i="6"/>
  <c r="G10" i="6"/>
  <c r="R10" i="6"/>
  <c r="Q10" i="6"/>
  <c r="D10" i="6"/>
  <c r="H10" i="6"/>
  <c r="M23" i="6"/>
  <c r="J22" i="6"/>
  <c r="H16" i="6"/>
  <c r="J16" i="6"/>
  <c r="I18" i="6"/>
  <c r="J18" i="6"/>
  <c r="J17" i="6"/>
  <c r="M12" i="6"/>
  <c r="J23" i="6"/>
  <c r="L12" i="6"/>
  <c r="H23" i="6"/>
  <c r="H12" i="6"/>
  <c r="I17" i="6"/>
  <c r="J11" i="6"/>
  <c r="L19" i="6"/>
  <c r="P21" i="6"/>
  <c r="M14" i="6"/>
  <c r="S12" i="6"/>
  <c r="J7" i="6"/>
  <c r="R19" i="6"/>
  <c r="K19" i="6"/>
  <c r="N19" i="6"/>
  <c r="I11" i="6"/>
  <c r="R9" i="6"/>
  <c r="O11" i="6"/>
  <c r="K8" i="7"/>
  <c r="P8" i="7"/>
  <c r="L3" i="3"/>
  <c r="M3" i="3"/>
  <c r="K10" i="2"/>
  <c r="Q10" i="2"/>
  <c r="R10" i="2"/>
  <c r="S10" i="2"/>
  <c r="N4" i="3"/>
  <c r="O4" i="3"/>
  <c r="M4" i="3"/>
  <c r="L2" i="3"/>
  <c r="I4" i="3"/>
  <c r="J14" i="2"/>
  <c r="H37" i="1"/>
  <c r="H51" i="1"/>
  <c r="F51" i="1"/>
  <c r="N3" i="3"/>
  <c r="O3" i="3"/>
  <c r="N2" i="3"/>
  <c r="O2" i="3"/>
  <c r="M2" i="3"/>
  <c r="H39" i="1"/>
  <c r="H40" i="1"/>
  <c r="Q22" i="6"/>
  <c r="H22" i="6"/>
  <c r="E24" i="6"/>
  <c r="M24" i="6"/>
  <c r="L21" i="6"/>
  <c r="K21" i="6"/>
  <c r="H21" i="6"/>
  <c r="S19" i="6"/>
  <c r="O20" i="6"/>
  <c r="O18" i="6"/>
  <c r="L17" i="6"/>
  <c r="M17" i="6"/>
  <c r="S17" i="6"/>
  <c r="O15" i="6"/>
  <c r="H15" i="6"/>
  <c r="J15" i="6"/>
  <c r="N15" i="6"/>
  <c r="S13" i="6"/>
  <c r="Q12" i="6"/>
  <c r="O14" i="6"/>
  <c r="J12" i="6"/>
  <c r="N12" i="6"/>
  <c r="I14" i="6"/>
  <c r="P12" i="6"/>
  <c r="H14" i="6"/>
  <c r="P11" i="6"/>
  <c r="N10" i="6"/>
  <c r="I9" i="6"/>
  <c r="P7" i="6"/>
  <c r="O7" i="6"/>
  <c r="S6" i="6"/>
  <c r="N22" i="6"/>
  <c r="M13" i="6"/>
  <c r="K9" i="6"/>
  <c r="H9" i="6"/>
  <c r="I10" i="6"/>
  <c r="K13" i="6"/>
  <c r="H6" i="6"/>
  <c r="L10" i="6"/>
  <c r="Q9" i="6"/>
  <c r="P22" i="6"/>
  <c r="L15" i="6"/>
  <c r="P6" i="6"/>
  <c r="P16" i="6"/>
  <c r="R21" i="6"/>
  <c r="P18" i="6"/>
  <c r="S21" i="6"/>
  <c r="N21" i="6"/>
  <c r="R11" i="6"/>
  <c r="I7" i="6"/>
  <c r="N20" i="6"/>
  <c r="K6" i="6"/>
  <c r="R6" i="6"/>
  <c r="L6" i="6"/>
  <c r="I24" i="6"/>
  <c r="H24" i="6"/>
  <c r="G24" i="6"/>
  <c r="S24" i="6"/>
  <c r="J19" i="6"/>
  <c r="I21" i="6"/>
  <c r="O19" i="6"/>
  <c r="N17" i="6"/>
  <c r="S18" i="6"/>
  <c r="H19" i="6"/>
  <c r="O10" i="6"/>
  <c r="F24" i="6"/>
  <c r="J13" i="6"/>
  <c r="H20" i="6"/>
  <c r="L20" i="6"/>
  <c r="R22" i="6"/>
  <c r="J24" i="6"/>
  <c r="O13" i="6"/>
  <c r="L22" i="6"/>
  <c r="R18" i="6"/>
  <c r="S20" i="6"/>
  <c r="M10" i="6"/>
  <c r="N14" i="6"/>
  <c r="K7" i="6"/>
  <c r="M16" i="6"/>
  <c r="M20" i="6"/>
  <c r="S14" i="6"/>
  <c r="J10" i="6"/>
  <c r="P13" i="6"/>
  <c r="L7" i="6"/>
  <c r="S23" i="6"/>
  <c r="O9" i="6"/>
  <c r="Q14" i="6"/>
  <c r="S7" i="6"/>
  <c r="S16" i="6"/>
  <c r="Q13" i="6"/>
  <c r="I13" i="6"/>
  <c r="Q11" i="6"/>
  <c r="S10" i="6"/>
  <c r="O23" i="6"/>
  <c r="K16" i="6"/>
  <c r="K14" i="6"/>
  <c r="N9" i="6"/>
  <c r="Q7" i="6"/>
  <c r="Q23" i="6"/>
  <c r="M18" i="6"/>
  <c r="M9" i="6"/>
  <c r="N23" i="6"/>
  <c r="P17" i="6"/>
  <c r="I20" i="6"/>
  <c r="Q15" i="6"/>
  <c r="K11" i="6"/>
  <c r="O16" i="6"/>
  <c r="L18" i="6"/>
  <c r="Q16" i="6"/>
  <c r="M11" i="6"/>
  <c r="Q17" i="6"/>
  <c r="M22" i="6"/>
  <c r="N6" i="6"/>
  <c r="K15" i="6"/>
  <c r="S15" i="6"/>
  <c r="R20" i="6"/>
  <c r="L10" i="2"/>
  <c r="M10" i="2"/>
  <c r="M6" i="2"/>
  <c r="Q6" i="2"/>
  <c r="R6" i="2"/>
  <c r="S6" i="2"/>
  <c r="L6" i="2"/>
  <c r="Q2" i="2"/>
  <c r="L2" i="2"/>
  <c r="K14" i="2"/>
  <c r="L14" i="2"/>
  <c r="M2" i="2"/>
  <c r="J18" i="5"/>
  <c r="K18" i="5"/>
  <c r="F8" i="6"/>
  <c r="O8" i="6"/>
  <c r="J19" i="5"/>
  <c r="K19" i="5"/>
  <c r="J20" i="5"/>
  <c r="K20" i="5"/>
  <c r="K24" i="6"/>
  <c r="L24" i="6"/>
  <c r="O24" i="6"/>
  <c r="P24" i="6"/>
  <c r="N24" i="6"/>
  <c r="Q24" i="6"/>
  <c r="R24" i="6"/>
  <c r="N10" i="2"/>
  <c r="O10" i="2"/>
  <c r="O6" i="2"/>
  <c r="N6" i="2"/>
  <c r="O2" i="2"/>
  <c r="N2" i="2"/>
  <c r="Q14" i="2"/>
  <c r="R2" i="2"/>
  <c r="S2" i="2"/>
  <c r="S14" i="2"/>
  <c r="G8" i="6"/>
  <c r="S8" i="6"/>
  <c r="N8" i="6"/>
  <c r="P8" i="6"/>
  <c r="E8" i="6"/>
  <c r="K8" i="6"/>
  <c r="D8" i="6"/>
  <c r="I8" i="6"/>
  <c r="H8" i="6"/>
  <c r="J8" i="6"/>
  <c r="M8" i="6"/>
  <c r="L8" i="6"/>
  <c r="Q8" i="6"/>
  <c r="R8" i="6"/>
  <c r="D29" i="10" l="1"/>
  <c r="D25" i="10"/>
  <c r="B3" i="10"/>
  <c r="B6" i="10" s="1"/>
  <c r="B9" i="10" s="1"/>
  <c r="B10" i="10" s="1"/>
  <c r="D3" i="10"/>
  <c r="D6" i="10" s="1"/>
  <c r="D9" i="10" s="1"/>
  <c r="D10" i="10" s="1"/>
  <c r="G8" i="7"/>
  <c r="L6" i="7"/>
  <c r="K7" i="7"/>
  <c r="J8" i="7"/>
  <c r="Q7" i="7"/>
  <c r="I7" i="7"/>
  <c r="R8" i="7"/>
  <c r="O8" i="7"/>
  <c r="M8" i="7"/>
  <c r="R7" i="7"/>
  <c r="H6" i="7"/>
  <c r="Q6" i="7"/>
  <c r="M6" i="7"/>
  <c r="R6" i="7"/>
  <c r="N6" i="7"/>
  <c r="N7" i="7"/>
  <c r="L7" i="7"/>
  <c r="H8" i="7"/>
  <c r="J6" i="7"/>
  <c r="M7" i="7"/>
  <c r="G7" i="7"/>
  <c r="I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tc={95C0D6AD-8432-42CD-A0E2-7A67CF4AD89A}</author>
  </authors>
  <commentList>
    <comment ref="D28" authorId="0" shapeId="0" xr:uid="{95C0D6AD-8432-42CD-A0E2-7A67CF4AD8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Still working to update. Don't trust numbers here yet.
Reply:
    Updated as of 10/22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<sst xmlns="http://schemas.openxmlformats.org/spreadsheetml/2006/main" count="1981" uniqueCount="754">
  <si>
    <t>Segment</t>
  </si>
  <si>
    <t>2024 ARR</t>
  </si>
  <si>
    <t>Q1 Linearity</t>
  </si>
  <si>
    <t>Q2 Linearity</t>
  </si>
  <si>
    <t>Q3 Linearity</t>
  </si>
  <si>
    <t>Q4 Linearity</t>
  </si>
  <si>
    <t>M1 Linearity</t>
  </si>
  <si>
    <t>M2 Linearity</t>
  </si>
  <si>
    <t>M3 Linearity</t>
  </si>
  <si>
    <t>US Client Sales</t>
  </si>
  <si>
    <t xml:space="preserve">Roles </t>
  </si>
  <si>
    <t>Name</t>
  </si>
  <si>
    <t>Quota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</si>
  <si>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</si>
  <si>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</si>
  <si>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</si>
  <si>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</si>
  <si>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</si>
  <si>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</si>
  <si>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</si>
  <si>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</si>
  <si>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</si>
  <si>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</si>
  <si>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</si>
  <si>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</si>
  <si>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US SMB CSE Key Great Lakes RSD</t>
  </si>
  <si>
    <t>Samantha Young</t>
  </si>
  <si>
    <t>US SMB CSE Key Mid Atlantic RSD</t>
  </si>
  <si>
    <t>Jake Rutenbar</t>
  </si>
  <si>
    <t>US SMB CSE Key North RSD</t>
  </si>
  <si>
    <t>Ronit Cohn</t>
  </si>
  <si>
    <t>US SMB CSE Key South RSD</t>
  </si>
  <si>
    <t>Randi Kruger</t>
  </si>
  <si>
    <t>US SMB CSE Key West RSD</t>
  </si>
  <si>
    <t>Heather Lewis</t>
  </si>
  <si>
    <t>US SMB CSE Premier East RSD</t>
  </si>
  <si>
    <t>Kyle Loving</t>
  </si>
  <si>
    <t>US SMB CSE Premier North RSD</t>
  </si>
  <si>
    <t>Christopher Smith</t>
  </si>
  <si>
    <t>US SMB CSE Premier South RSD</t>
  </si>
  <si>
    <t>US SMB CSE Premier West RSD</t>
  </si>
  <si>
    <t>Angie Koplan</t>
  </si>
  <si>
    <t>US SMB CSE Strategic Midwest RSD</t>
  </si>
  <si>
    <t>Christian Larson</t>
  </si>
  <si>
    <t>US SMB CSE Strategic Mountain RSD</t>
  </si>
  <si>
    <t>Amanda Meek</t>
  </si>
  <si>
    <t>US SMB CSE Strategic Northeast RSD</t>
  </si>
  <si>
    <t>Megan Frodge</t>
  </si>
  <si>
    <t>US SMB CSE Strategic Northwest RSD</t>
  </si>
  <si>
    <t>Brooke Nelson</t>
  </si>
  <si>
    <t>US SMB CSE Strategic Southeast RSD</t>
  </si>
  <si>
    <t>US SMB CSE Strategic Southwest RSD</t>
  </si>
  <si>
    <t>Dave Elinger</t>
  </si>
  <si>
    <t>US SMB Client Sales Strategic VP</t>
  </si>
  <si>
    <t>Andrew Hop</t>
  </si>
  <si>
    <t>US SMB Client Sales Premier VP</t>
  </si>
  <si>
    <t>Jason Rainey</t>
  </si>
  <si>
    <t>US SMB Client Sales Key VP</t>
  </si>
  <si>
    <t>Peter Gadd</t>
  </si>
  <si>
    <t>Head of US SMB Client Sales</t>
  </si>
  <si>
    <t>Tim Downs</t>
  </si>
  <si>
    <t>Leader Name</t>
  </si>
  <si>
    <t>US SMB CSE Key CSE</t>
  </si>
  <si>
    <t>US SMB CSE Strategic CSE</t>
  </si>
  <si>
    <t>US SMB CSE Premier CSE</t>
  </si>
  <si>
    <t>Rep/RSD Name</t>
  </si>
  <si>
    <t>Division</t>
  </si>
  <si>
    <t>Team</t>
  </si>
  <si>
    <t>Region</t>
  </si>
  <si>
    <t>IC Quota</t>
  </si>
  <si>
    <t>Quota Sans Leadership Overassign</t>
  </si>
  <si>
    <t>Overassign %</t>
  </si>
  <si>
    <t>Leader Quotas</t>
  </si>
  <si>
    <t>Quota (EUR)</t>
  </si>
  <si>
    <t>Keur</t>
  </si>
  <si>
    <t>US SMB Client Sales</t>
  </si>
  <si>
    <t>US SMB Client Sales Strategic</t>
  </si>
  <si>
    <t>US SMB CSE Strategic Mountain</t>
  </si>
  <si>
    <t>NA</t>
  </si>
  <si>
    <t>US SMB CSE Strategic Midwest</t>
  </si>
  <si>
    <t>US SMB CSE Strategic Southwest</t>
  </si>
  <si>
    <t>US SMB CSE Strategic Northwest</t>
  </si>
  <si>
    <t>US SMB CSE Strategic Northeast</t>
  </si>
  <si>
    <t>US SMB Client Sales Premier</t>
  </si>
  <si>
    <t>US SMB CSE Premier South</t>
  </si>
  <si>
    <t>US SMB CSE Premier North</t>
  </si>
  <si>
    <t>US SMB CSE Premier East</t>
  </si>
  <si>
    <t>US SMB CSE Premier West</t>
  </si>
  <si>
    <t>US SMB Client Sales Key</t>
  </si>
  <si>
    <t>US SMB CSE Key West</t>
  </si>
  <si>
    <t>US SMB CSE Key North</t>
  </si>
  <si>
    <t>US SMB CSE Key Mid Atlantic</t>
  </si>
  <si>
    <t>US SMB CSE Key South</t>
  </si>
  <si>
    <t>US SMB CSE Key Great Lakes</t>
  </si>
  <si>
    <t>Cindy Baker</t>
  </si>
  <si>
    <t>Joe Vigil</t>
  </si>
  <si>
    <t>Michaela Gormley</t>
  </si>
  <si>
    <t>Oliver Holdenson</t>
  </si>
  <si>
    <t>Tyler Klein</t>
  </si>
  <si>
    <t>Danny Sinatro</t>
  </si>
  <si>
    <t>Jordan Breisacher</t>
  </si>
  <si>
    <t>Thang Nguyen</t>
  </si>
  <si>
    <t>David Jensen</t>
  </si>
  <si>
    <t>Jack Zabel</t>
  </si>
  <si>
    <t>Jill Desjardine</t>
  </si>
  <si>
    <t>Scott Bere</t>
  </si>
  <si>
    <t>Tom Larson</t>
  </si>
  <si>
    <t>Tyler Sanford</t>
  </si>
  <si>
    <t>Alden Martinez</t>
  </si>
  <si>
    <t>Brooke Mullis</t>
  </si>
  <si>
    <t>Colin Kraker</t>
  </si>
  <si>
    <t>Jonathan Barth</t>
  </si>
  <si>
    <t>Natalie Rizk</t>
  </si>
  <si>
    <t>Ryan Doyle</t>
  </si>
  <si>
    <t>Joe Dorey</t>
  </si>
  <si>
    <t>Jordan Buri</t>
  </si>
  <si>
    <t>Karrah Manzanarez</t>
  </si>
  <si>
    <t>Kylie Barrett</t>
  </si>
  <si>
    <t>Trevor Hecht</t>
  </si>
  <si>
    <t>Tyler Krob</t>
  </si>
  <si>
    <t>Ben Angelo</t>
  </si>
  <si>
    <t>Mark Hemmerle</t>
  </si>
  <si>
    <t>Mike Antkowiak</t>
  </si>
  <si>
    <t>Alex Capeloto</t>
  </si>
  <si>
    <t>Beth Danielson</t>
  </si>
  <si>
    <t>Danny Lewis</t>
  </si>
  <si>
    <t>Julie Barter</t>
  </si>
  <si>
    <t>Katie Byrnes</t>
  </si>
  <si>
    <t>Sam Angelo</t>
  </si>
  <si>
    <t>Ben Goman</t>
  </si>
  <si>
    <t>Deb Tegan</t>
  </si>
  <si>
    <t>Katrina Brock</t>
  </si>
  <si>
    <t>Kim Koehn</t>
  </si>
  <si>
    <t>Mandy Gallanar</t>
  </si>
  <si>
    <t>Stephen Snediker</t>
  </si>
  <si>
    <t>Zak Priest</t>
  </si>
  <si>
    <t>Amy Lawrence</t>
  </si>
  <si>
    <t>Blake Karnes</t>
  </si>
  <si>
    <t>Camille Loving</t>
  </si>
  <si>
    <t>Joel Segall</t>
  </si>
  <si>
    <t>Michael Landes</t>
  </si>
  <si>
    <t>Sabah Ozan</t>
  </si>
  <si>
    <t>Aghiles Benali</t>
  </si>
  <si>
    <t>Blair Sievert</t>
  </si>
  <si>
    <t>Breck Hansen</t>
  </si>
  <si>
    <t>Deb Smith</t>
  </si>
  <si>
    <t>Ellen Bastian</t>
  </si>
  <si>
    <t>Natalie Jamieson</t>
  </si>
  <si>
    <t>Rob Meek</t>
  </si>
  <si>
    <t>Andrea Flor</t>
  </si>
  <si>
    <t>Kevin Chheang</t>
  </si>
  <si>
    <t>Lindsay Wilson</t>
  </si>
  <si>
    <t>Mara Obermeier</t>
  </si>
  <si>
    <t>US SMB CSE Strategic Southeast</t>
  </si>
  <si>
    <t>Joseph Silva</t>
  </si>
  <si>
    <t>Meaghan Rodgers</t>
  </si>
  <si>
    <t>Tyler Hazen</t>
  </si>
  <si>
    <t>Tyler Nuquay</t>
  </si>
  <si>
    <t>Alanna Parrott</t>
  </si>
  <si>
    <t>Brittany Whims</t>
  </si>
  <si>
    <t>Debbie Saysanavongphet</t>
  </si>
  <si>
    <t>Evan Anderson</t>
  </si>
  <si>
    <t>Jamie Stewart</t>
  </si>
  <si>
    <t>Kaitlin Dailey</t>
  </si>
  <si>
    <t>Mark Workman</t>
  </si>
  <si>
    <t>Ashley McCue</t>
  </si>
  <si>
    <t>Dan Eagen</t>
  </si>
  <si>
    <t>Jeffrey Danner</t>
  </si>
  <si>
    <t>Laura Jungbauer</t>
  </si>
  <si>
    <t>Rachel Burns</t>
  </si>
  <si>
    <t>Thomas Morrison</t>
  </si>
  <si>
    <t>Aaron Korus</t>
  </si>
  <si>
    <t>Jack Bloomquist</t>
  </si>
  <si>
    <t>Lauren Pellowski</t>
  </si>
  <si>
    <t>Zack Scharf</t>
  </si>
  <si>
    <t>Charline Greiff</t>
  </si>
  <si>
    <t>Jessica Klein</t>
  </si>
  <si>
    <t>Jun Park</t>
  </si>
  <si>
    <t>Lindsay Paxton</t>
  </si>
  <si>
    <t>Matt Knight</t>
  </si>
  <si>
    <t>Robert Stoering</t>
  </si>
  <si>
    <t>2024 Actual Split</t>
  </si>
  <si>
    <t>2024 Planned Split</t>
  </si>
  <si>
    <t>2024 Attainment</t>
  </si>
  <si>
    <t>New Business</t>
  </si>
  <si>
    <t>106,687k</t>
  </si>
  <si>
    <t>22,975k</t>
  </si>
  <si>
    <t>40,416k</t>
  </si>
  <si>
    <t>43,296k</t>
  </si>
  <si>
    <t>143,632k</t>
  </si>
  <si>
    <t>Client</t>
  </si>
  <si>
    <t>Moved from Premier to New Business</t>
  </si>
  <si>
    <t>USD</t>
  </si>
  <si>
    <t>Notes</t>
  </si>
  <si>
    <t>US SMB New Business</t>
  </si>
  <si>
    <t>US General Business</t>
  </si>
  <si>
    <t>US Mid Market</t>
  </si>
  <si>
    <t>US National</t>
  </si>
  <si>
    <t>United States</t>
  </si>
  <si>
    <t>2024 Closed Won ARR - Pulled January 2, 2025</t>
  </si>
  <si>
    <t>% of Market Total</t>
  </si>
  <si>
    <t>Bookings Adjustment</t>
  </si>
  <si>
    <t>Actual Finish - Estimated Restated</t>
  </si>
  <si>
    <t>Adjustment Ratio</t>
  </si>
  <si>
    <t>Revenue to Bookings Ratio 2023</t>
  </si>
  <si>
    <t>Input</t>
  </si>
  <si>
    <t>Formula (note, growth and CW ARR forumal can be reversed)</t>
  </si>
  <si>
    <t>Inputed goals (note, growth and CW ARR forumal can be reversed)</t>
  </si>
  <si>
    <t>Overassign</t>
  </si>
  <si>
    <t>Assumed to be 5%. Will update when more guidance is given</t>
  </si>
  <si>
    <t>Assigned Quota</t>
  </si>
  <si>
    <t>Formula</t>
  </si>
  <si>
    <t>Next CY Headcount (analyzed outside of this workbook)</t>
  </si>
  <si>
    <t>What percent of the budget headcount is productive (i.e. looking at ramps and effective headcount)? Taken from the average effective headcount from last two years</t>
  </si>
  <si>
    <t>2025 Productive Headcount</t>
  </si>
  <si>
    <t>Formula - Budgeted Headcount multiplied by the productive HC Factor to give a more accurate representation of heads in seat throughout the year</t>
  </si>
  <si>
    <t>2024 Budget Headcount</t>
  </si>
  <si>
    <t xml:space="preserve">Headcount number from 2024 planning </t>
  </si>
  <si>
    <t>2024 Productive Headcount</t>
  </si>
  <si>
    <t>Pulled from 2024 Model</t>
  </si>
  <si>
    <t>2024 Ending Productivity</t>
  </si>
  <si>
    <t>2023 Restated Ending Productivity</t>
  </si>
  <si>
    <t>2025 Ending Productivity</t>
  </si>
  <si>
    <t>Formula (2024 ARR plan/2024 Productive Headcount)</t>
  </si>
  <si>
    <t>Formula (2024 Ending Productivity/2023 Ending Productivity -1)</t>
  </si>
  <si>
    <t>Ending Rep Quota</t>
  </si>
  <si>
    <t>Formula (this is an average rep quota)</t>
  </si>
  <si>
    <t>Average RSE quota by role - International Quotas are in USD</t>
  </si>
  <si>
    <t>25/24 Quota Change</t>
  </si>
  <si>
    <t>% Change</t>
  </si>
  <si>
    <t>Formula - Total Accounts divided by Budgeted HC</t>
  </si>
  <si>
    <t>Taken from Tableau on 10/16/23</t>
  </si>
  <si>
    <t>Taken from Tableau on 9/26/22</t>
  </si>
  <si>
    <t>24/23 Account Changes</t>
  </si>
  <si>
    <t>Total amount of change of accounts from 2023 to 2024</t>
  </si>
  <si>
    <t>24/23 Account Changes per Rep</t>
  </si>
  <si>
    <t>Amount of accounts change per rep from 2023 to 2024</t>
  </si>
  <si>
    <t>2024 Productivity to Plan</t>
  </si>
  <si>
    <t>% Prod Increase</t>
  </si>
  <si>
    <t>Formula (2024 Ending Productivity/2023 Productivity to Plan-1)</t>
  </si>
  <si>
    <t xml:space="preserve"> </t>
  </si>
  <si>
    <t>Market</t>
  </si>
  <si>
    <t>Role</t>
  </si>
  <si>
    <t>Growth Percentage from Finish (USD)</t>
  </si>
  <si>
    <t>Percent of CW Goal</t>
  </si>
  <si>
    <t>Input Number USD</t>
  </si>
  <si>
    <t>CW ARR Total with Proposed Quota (Input Number)</t>
  </si>
  <si>
    <t>Overassign Amount</t>
  </si>
  <si>
    <t>Overassign Percent(Team)</t>
  </si>
  <si>
    <t>Overassign per rep</t>
  </si>
  <si>
    <t>Overassign percentage per rep</t>
  </si>
  <si>
    <t>Quota sans Overassign</t>
  </si>
  <si>
    <t>Additional Leader Overassign (SPIFF, Uplifts)</t>
  </si>
  <si>
    <t>Total Overassign</t>
  </si>
  <si>
    <t>Total Overassign %</t>
  </si>
  <si>
    <t>US Key</t>
  </si>
  <si>
    <t>US SMB Key CSE</t>
  </si>
  <si>
    <t>US Strategic</t>
  </si>
  <si>
    <t>US SMB Strategic CSE</t>
  </si>
  <si>
    <t>US Premier</t>
  </si>
  <si>
    <t>US SMB Premier CSE</t>
  </si>
  <si>
    <t>Total</t>
  </si>
  <si>
    <t>Key</t>
  </si>
  <si>
    <t>Strategic</t>
  </si>
  <si>
    <t>Premier</t>
  </si>
  <si>
    <t>Total overassign</t>
  </si>
  <si>
    <t>CW ARR</t>
  </si>
  <si>
    <t>Additional Sales Credit</t>
  </si>
  <si>
    <t>% of CW ARR</t>
  </si>
  <si>
    <t>Current Overassign</t>
  </si>
  <si>
    <t>Current overassign per rep</t>
  </si>
  <si>
    <t>% of CW ARR Proposed</t>
  </si>
  <si>
    <t>Delta (F minus D)</t>
  </si>
  <si>
    <t>Per leader (appx)</t>
  </si>
  <si>
    <t>% of RSD quota</t>
  </si>
  <si>
    <t>Opportunity Name</t>
  </si>
  <si>
    <t>18 Digit Account ID</t>
  </si>
  <si>
    <t>Lead Source</t>
  </si>
  <si>
    <t>Roll-up Sales Credit Calculation (converted)</t>
  </si>
  <si>
    <t>Forecast Amount</t>
  </si>
  <si>
    <t>Check</t>
  </si>
  <si>
    <t>Close Date</t>
  </si>
  <si>
    <t>ID (18 Char)</t>
  </si>
  <si>
    <t>Stage</t>
  </si>
  <si>
    <t>Probability (%)</t>
  </si>
  <si>
    <t>Fiscal Period</t>
  </si>
  <si>
    <t>Age</t>
  </si>
  <si>
    <t>Created Date</t>
  </si>
  <si>
    <t>Opportunity Owner</t>
  </si>
  <si>
    <t>Owner Role</t>
  </si>
  <si>
    <t>Account Name</t>
  </si>
  <si>
    <t>Oppty Team</t>
  </si>
  <si>
    <t>Cohesity Inc. // Expansion</t>
  </si>
  <si>
    <t>001600000147Pu0AAE</t>
  </si>
  <si>
    <t>Other</t>
  </si>
  <si>
    <t>006Pg00000Cq8nOIAR</t>
  </si>
  <si>
    <t>Closed Won</t>
  </si>
  <si>
    <t>Q1-2025</t>
  </si>
  <si>
    <t>US SMB CSE Premier West RSE</t>
  </si>
  <si>
    <t>Cohesity Inc.</t>
  </si>
  <si>
    <t>ModernaTX, Inc - Save</t>
  </si>
  <si>
    <t>0016000000s5vIcAAI</t>
  </si>
  <si>
    <t>0067V00002B29MMQAZ</t>
  </si>
  <si>
    <t>Q2-2024</t>
  </si>
  <si>
    <t>US SMB CSE Premier East RSE</t>
  </si>
  <si>
    <t>ModernaTX, Inc</t>
  </si>
  <si>
    <t>SPLIT - COCHLEAR LIMITED</t>
  </si>
  <si>
    <t>0016000000UbtFnAAJ</t>
  </si>
  <si>
    <t>Sales</t>
  </si>
  <si>
    <t>006Pg00000B3JEHIA3</t>
  </si>
  <si>
    <t>Q3-2024</t>
  </si>
  <si>
    <t>US SMB CSE Premier North RSE</t>
  </si>
  <si>
    <t>COCHLEAR LIMITED</t>
  </si>
  <si>
    <t>The Crosby Group LLC - MERGER WITH KITO CORPORATION</t>
  </si>
  <si>
    <t>0016000000IAaaIAAT</t>
  </si>
  <si>
    <t>Client Business Review</t>
  </si>
  <si>
    <t>0067V00002C9SZFQA3</t>
  </si>
  <si>
    <t>The Crosby Group LLC</t>
  </si>
  <si>
    <t>Incyte Corporation - Ariba SPIFF OPPTY</t>
  </si>
  <si>
    <t>0013200001F45aAAAR</t>
  </si>
  <si>
    <t>006Pg00000MQRPhIAP</t>
  </si>
  <si>
    <t>Incyte Corporation</t>
  </si>
  <si>
    <t>Onestream Software LLC - Save</t>
  </si>
  <si>
    <t>0013200001CXFTYAA5</t>
  </si>
  <si>
    <t>0067V00002D6fJXQAZ</t>
  </si>
  <si>
    <t>Q4-2024</t>
  </si>
  <si>
    <t>Onestream Software LLC</t>
  </si>
  <si>
    <t>Glaukos Corporation- SAVE- NQC</t>
  </si>
  <si>
    <t>0016000000LkLpEAAV</t>
  </si>
  <si>
    <t>Outbound - Call</t>
  </si>
  <si>
    <t>006Pg00000C1cIrIAJ</t>
  </si>
  <si>
    <t>Glaukos Corporation</t>
  </si>
  <si>
    <t>Surveying and Mapping LLC- NQC - SAVE</t>
  </si>
  <si>
    <t>0016000000LfpngAAB</t>
  </si>
  <si>
    <t>006Pg00000C4R19IAF</t>
  </si>
  <si>
    <t>Surveying and Mapping LLC</t>
  </si>
  <si>
    <t>Revance Therapeutics Inc- SAVE - NQC</t>
  </si>
  <si>
    <t>0016000000n1rBTAAY</t>
  </si>
  <si>
    <t>0067V00002C9nYOQAZ</t>
  </si>
  <si>
    <t>Revance Therapeutics Inc</t>
  </si>
  <si>
    <t>Heartland Veterinary Partners LLC- SAVE- NQC</t>
  </si>
  <si>
    <t>0013200001HMoC3AAL</t>
  </si>
  <si>
    <t>0067V00002C9rNpQAJ</t>
  </si>
  <si>
    <t>Heartland Veterinary Partners LLC</t>
  </si>
  <si>
    <t>GV Air, Inc - SAVE</t>
  </si>
  <si>
    <t>0010e00001OKs3RAAT</t>
  </si>
  <si>
    <t>006Pg00000DYNsLIAX</t>
  </si>
  <si>
    <t>GV Air, Inc</t>
  </si>
  <si>
    <t>Kampgrounds of America, Inc.Save</t>
  </si>
  <si>
    <t>0016000000Ii5EpAAJ</t>
  </si>
  <si>
    <t>Web</t>
  </si>
  <si>
    <t>0067V00002DtpctQAB</t>
  </si>
  <si>
    <t>Kampgrounds of America, Inc.</t>
  </si>
  <si>
    <t>HEALTHFIRST BLUEGRASS INC- SAVE- NQC</t>
  </si>
  <si>
    <t>0013200001IPBIPAA5</t>
  </si>
  <si>
    <t>0067V00002D6f1gQAB</t>
  </si>
  <si>
    <t>HEALTHFIRST BLUEGRASS INC</t>
  </si>
  <si>
    <t>Custom Truck &amp; Equipment LLC- SAVE</t>
  </si>
  <si>
    <t>0016000000u5UPEAA2</t>
  </si>
  <si>
    <t>0067V00002C9whyQAB</t>
  </si>
  <si>
    <t>Custom Truck &amp; Equipment LLC</t>
  </si>
  <si>
    <t>Forefront Management - Save</t>
  </si>
  <si>
    <t>0017V00001hDZnZQAW</t>
  </si>
  <si>
    <t>0067V00002CAJVWQA5</t>
  </si>
  <si>
    <t>Forefront Management</t>
  </si>
  <si>
    <t>Gray Construction, Inc. - Verify + Save</t>
  </si>
  <si>
    <t>0016000000IATsGAAX</t>
  </si>
  <si>
    <t>0067V00002B1yrzQAB</t>
  </si>
  <si>
    <t>Gray Construction, Inc.</t>
  </si>
  <si>
    <t>Flatiron Health - CC Feeds + Save</t>
  </si>
  <si>
    <t>00160000014TiOyAAK</t>
  </si>
  <si>
    <t>0067V00002C9QbYQAV</t>
  </si>
  <si>
    <t>Flatiron Health</t>
  </si>
  <si>
    <t>Uniti Group Finance Inc- SAVE - NQC</t>
  </si>
  <si>
    <t>00160000017JBsPAAW</t>
  </si>
  <si>
    <t>0067V00002CAVPaQAP</t>
  </si>
  <si>
    <t>Uniti Group Finance Inc</t>
  </si>
  <si>
    <t>SPLIT - ICON CLINICAL RESEARCH LTD - Ex</t>
  </si>
  <si>
    <t>0016000000KkWB1AAN</t>
  </si>
  <si>
    <t>006Pg00000BhwYfIAJ</t>
  </si>
  <si>
    <t>ICON Government &amp; Public Health Solutions, Inc.</t>
  </si>
  <si>
    <t>Bobst North America Inc. - Save</t>
  </si>
  <si>
    <t>0016000000IAXVfAAP</t>
  </si>
  <si>
    <t>006Pg000009qPLKIA2</t>
  </si>
  <si>
    <t>Bobst North America Inc.</t>
  </si>
  <si>
    <t>Pinnacle Home Care Inc - SAVE</t>
  </si>
  <si>
    <t>00160000015GbG2AAK</t>
  </si>
  <si>
    <t>Direct Traffic</t>
  </si>
  <si>
    <t>0067V00002C9zWgQAJ</t>
  </si>
  <si>
    <t>Pinnacle Home Care Inc</t>
  </si>
  <si>
    <t>Stellar Group, Incorporated - SAVE-NQC</t>
  </si>
  <si>
    <t>0016000000IAVGAAA5</t>
  </si>
  <si>
    <t>006Pg00000A9KszIAF</t>
  </si>
  <si>
    <t>Stellar Group, Incorporated</t>
  </si>
  <si>
    <t>Avita - Endorsed Apps - Motus</t>
  </si>
  <si>
    <t>0013200001C4QHZAA3</t>
  </si>
  <si>
    <t>Concur App Center</t>
  </si>
  <si>
    <t>0067V00002C92j2QAB</t>
  </si>
  <si>
    <t>Avita Medical Ltd</t>
  </si>
  <si>
    <t>YAM Management, LLC - Save - NQC</t>
  </si>
  <si>
    <t>0010e00001KrasMAAR</t>
  </si>
  <si>
    <t>006Pg000009oWnWIAU</t>
  </si>
  <si>
    <t>YAM Management, LLC</t>
  </si>
  <si>
    <t>Purple Innovation, LLC - Pro Upgrade + Sandbox - SAVE</t>
  </si>
  <si>
    <t>0013200001G5G0tAAF</t>
  </si>
  <si>
    <t>0067V00002C9wvqQAB</t>
  </si>
  <si>
    <t>Purple Innovation, LLC</t>
  </si>
  <si>
    <t>Peter Millar LLC - SAVE</t>
  </si>
  <si>
    <t>0016000000giIgNAAU</t>
  </si>
  <si>
    <t>0067V00002CAO9FQAX</t>
  </si>
  <si>
    <t>Peter Millar LLC</t>
  </si>
  <si>
    <t>CHIMES International Limited - Save</t>
  </si>
  <si>
    <t>0016000000OkdxXAAR</t>
  </si>
  <si>
    <t>0067V00002CAgFeQAL</t>
  </si>
  <si>
    <t>CHIMES International Limited</t>
  </si>
  <si>
    <t>The Yerba Mate Co, LLC - SAVE</t>
  </si>
  <si>
    <t>0013200001GCogDAAT</t>
  </si>
  <si>
    <t>0067V00002A999iQAB</t>
  </si>
  <si>
    <t>The Yerba Mate Co, LLC</t>
  </si>
  <si>
    <t>Ste. Michelle Wine Estates, Ltd- SAVE - NQC</t>
  </si>
  <si>
    <t>0016000000JWh9sAAD</t>
  </si>
  <si>
    <t>0067V00002DtqMDQAZ</t>
  </si>
  <si>
    <t>Ste. Michelle Wine Estates, Ltd.</t>
  </si>
  <si>
    <t>Kings Hawaiian - Save</t>
  </si>
  <si>
    <t>0016000000IiQZLAA3</t>
  </si>
  <si>
    <t>0067V00002C8jp7QAB</t>
  </si>
  <si>
    <t>King's Hawaiian Bakery West, Inc.</t>
  </si>
  <si>
    <t>Diligent Corporation- SAVE</t>
  </si>
  <si>
    <t>0016000000fCUG3AAO</t>
  </si>
  <si>
    <t>0067V00002B2BwtQAF</t>
  </si>
  <si>
    <t>Diligent Corporation</t>
  </si>
  <si>
    <t>Kilroy Realty, L.P. - Client Save NQC April/May 2024</t>
  </si>
  <si>
    <t>0016000000IAVppAAH</t>
  </si>
  <si>
    <t>Inbound - Call</t>
  </si>
  <si>
    <t>0067V00002CAkrSQAT</t>
  </si>
  <si>
    <t>Kilroy Realty, L.P.</t>
  </si>
  <si>
    <t>SPLIT - Sam - Inspire Brands - New Logo CE</t>
  </si>
  <si>
    <t>0010e00001KeFBtAAN</t>
  </si>
  <si>
    <t>0067V00002CAg9bQAD</t>
  </si>
  <si>
    <t>IRB Holding Corp.</t>
  </si>
  <si>
    <t>Seiu Uhw-West &amp; Joint Employer Education Fund- SAVE</t>
  </si>
  <si>
    <t>00160000017YOhDAAW</t>
  </si>
  <si>
    <t>0067V00002C9YeXQAV</t>
  </si>
  <si>
    <t>Seiu Uhw-West &amp; Joint Employer Education Fund</t>
  </si>
  <si>
    <t>Pacira Pharmaceuticals, Inc. - Ariba SPIFF Oppty</t>
  </si>
  <si>
    <t>0016000000ecfprAAA</t>
  </si>
  <si>
    <t>Referral Sales Credit</t>
  </si>
  <si>
    <t>006Pg00000Ci8mAIAR</t>
  </si>
  <si>
    <t>Pacira Pharmaceuticals, Inc.</t>
  </si>
  <si>
    <t>Blue State Digital, Inc. - SAVE</t>
  </si>
  <si>
    <t>0016000000MHVztAAH</t>
  </si>
  <si>
    <t>006Pg00000FNfQ5IAL</t>
  </si>
  <si>
    <t>Blue State Digital, Inc.</t>
  </si>
  <si>
    <t>Elevate ENT Partners- SAVE</t>
  </si>
  <si>
    <t>0010e00001RIA9tAAH</t>
  </si>
  <si>
    <t>006Pg00000Cvnl6IAB</t>
  </si>
  <si>
    <t>Elevate ENT Partners</t>
  </si>
  <si>
    <t>Endress + Hauser Incorporated- SAVE</t>
  </si>
  <si>
    <t>0016000000IAY6sAAH</t>
  </si>
  <si>
    <t>0067V00002C9cX0QAJ</t>
  </si>
  <si>
    <t>Endress + Hauser Incorporated</t>
  </si>
  <si>
    <t>Toyo Tire Holdings of Americas Inc. - Save (NQC)</t>
  </si>
  <si>
    <t>0016000000IAcUzAAL</t>
  </si>
  <si>
    <t>006Pg00000A4OFjIAN</t>
  </si>
  <si>
    <t>Toyo Tire Holdings of Americas Inc.</t>
  </si>
  <si>
    <t>AGC Biologics - SAVE + EPM - NQC</t>
  </si>
  <si>
    <t>0010e00001Lx86sAAB</t>
  </si>
  <si>
    <t>0067V00002C9WRMQA3</t>
  </si>
  <si>
    <t>AGC Biologics</t>
  </si>
  <si>
    <t>QCR HOLDINGS INC - Save (NQC)</t>
  </si>
  <si>
    <t>0013200001G5mMMAAZ</t>
  </si>
  <si>
    <t>006Pg00000C4218IAB</t>
  </si>
  <si>
    <t>QCR HOLDINGS INC</t>
  </si>
  <si>
    <t>Hannover Life Reassurance - SAVE- NQC</t>
  </si>
  <si>
    <t>0016000000IGVSIAA5</t>
  </si>
  <si>
    <t>006Pg00000A9GW1IAN</t>
  </si>
  <si>
    <t>Hannover Life Reassurance Company of America</t>
  </si>
  <si>
    <t>Madrigal Pharmaceuticals - Endorsed App - Motus</t>
  </si>
  <si>
    <t>0010e00001OKqx7AAD</t>
  </si>
  <si>
    <t>006Pg00000Gb68TIAR</t>
  </si>
  <si>
    <t>Madrigal Pharmaceuticals</t>
  </si>
  <si>
    <t>LittleStar ABA Therapy - Save</t>
  </si>
  <si>
    <t>0016000000vsXVgAAM</t>
  </si>
  <si>
    <t>006Pg00000FJ5hhIAD</t>
  </si>
  <si>
    <t>LittleStar ABA Therapy</t>
  </si>
  <si>
    <t>RVL Pharmaceuticals, Inc. - Save</t>
  </si>
  <si>
    <t>0016000000N4VbMAAV</t>
  </si>
  <si>
    <t>0067V00002CA8q3QAD</t>
  </si>
  <si>
    <t>RVL Pharmaceuticals, Inc.</t>
  </si>
  <si>
    <t>Uipath, Inc. - Save</t>
  </si>
  <si>
    <t>0013200001HKwWMAA1</t>
  </si>
  <si>
    <t>0067V000029IsYeQAK</t>
  </si>
  <si>
    <t>Uipath, Inc.</t>
  </si>
  <si>
    <t>Main Street Renewal LLC - SAVE- 2024- NQC</t>
  </si>
  <si>
    <t>0013200001DRP2sAAH</t>
  </si>
  <si>
    <t>0067V000024vKXQQA2</t>
  </si>
  <si>
    <t>Main Street Renewal LLC</t>
  </si>
  <si>
    <t>Starboard Holdings, Ltd. Incorporated - SAVE</t>
  </si>
  <si>
    <t>0016000000IiRAgAAN</t>
  </si>
  <si>
    <t>0067V00002CAHAgQAP</t>
  </si>
  <si>
    <t>Starboard Holdings, Ltd. Incorporated</t>
  </si>
  <si>
    <t>Engineering Systems Inc.- SAVE</t>
  </si>
  <si>
    <t>0016000000vsXfDAAU</t>
  </si>
  <si>
    <t>006Pg00000BE6wrIAD</t>
  </si>
  <si>
    <t>Engineering Systems Inc.</t>
  </si>
  <si>
    <t>SPLIT - Christian Dior - TI - OTHER</t>
  </si>
  <si>
    <t>0016000000dW16ZAAS</t>
  </si>
  <si>
    <t>Sales Initiated</t>
  </si>
  <si>
    <t>006Pg00000FZKWHIA5</t>
  </si>
  <si>
    <t>US SMB CSE Premier South RSE</t>
  </si>
  <si>
    <t>Christian Dior Perfumes, LLC</t>
  </si>
  <si>
    <t>Douglas Dynamics, Inc- SAVE</t>
  </si>
  <si>
    <t>0016000000qVRmCAAW</t>
  </si>
  <si>
    <t>Email</t>
  </si>
  <si>
    <t>0067V00002CAgJ2QAL</t>
  </si>
  <si>
    <t>Douglas Dynamics, Inc</t>
  </si>
  <si>
    <t>Dyno Nobel Inc. - Endorsed App - Motus</t>
  </si>
  <si>
    <t>0016000000IAZXAAA5</t>
  </si>
  <si>
    <t>0067V00002A9Fz4QAF</t>
  </si>
  <si>
    <t>Dyno Nobel Inc.</t>
  </si>
  <si>
    <t>Organogenesis Inc - Endorsed Apps - MedPro - Expense</t>
  </si>
  <si>
    <t>0016000000IAVaYAAX</t>
  </si>
  <si>
    <t>0067V000029Dq3CQAS</t>
  </si>
  <si>
    <t>Organogenesis Inc</t>
  </si>
  <si>
    <t>Avita Medical Ltd - SolEx Exception - Groupize</t>
  </si>
  <si>
    <t>0067V00002C9VQLQA3</t>
  </si>
  <si>
    <t>The AZEK Company LLC - Endorsed App - Motus</t>
  </si>
  <si>
    <t>0016000000JWhLZAA1</t>
  </si>
  <si>
    <t>0067V00002B2DJbQAN</t>
  </si>
  <si>
    <t>The AZEK Company LLC</t>
  </si>
  <si>
    <t>Mimecast - TI Q4 2024</t>
  </si>
  <si>
    <t>0016000000UZcqLAAT</t>
  </si>
  <si>
    <t>006Pg000009rHiHIAU</t>
  </si>
  <si>
    <t>Mimecast Services Ltd</t>
  </si>
  <si>
    <t>Qualtrics - Endorsed Apps - Zylo</t>
  </si>
  <si>
    <t>0016000000hUPlLAAW</t>
  </si>
  <si>
    <t>0067V000023q23iQAA</t>
  </si>
  <si>
    <t>Qualtrics, LLC</t>
  </si>
  <si>
    <t>SPLIT - Diagnostica Stago S.A.S - Renewal 2024 -24Q3 slipped</t>
  </si>
  <si>
    <t>0016000000JHNMSAA5</t>
  </si>
  <si>
    <t>006Pg00000LvE2BIAV</t>
  </si>
  <si>
    <t>Diagnostica Stago S.A.S</t>
  </si>
  <si>
    <t>SPLIT - MDR_KTM Mexico_Exp</t>
  </si>
  <si>
    <t>0010e00001N3sH0AAJ</t>
  </si>
  <si>
    <t>Search</t>
  </si>
  <si>
    <t>0067V00002C9WOcQAN</t>
  </si>
  <si>
    <t>KTM-SPORTMOTORCYCLE MÉXICO, S. DE R.L. DE C.V.</t>
  </si>
  <si>
    <t>AZURITY PHARMACEUTICALS, INC. - Endorsed App - MedPro - Expense</t>
  </si>
  <si>
    <t>0016000000Ph7g7AAB</t>
  </si>
  <si>
    <t>006Pg00000KhwYNIAZ</t>
  </si>
  <si>
    <t>AZURITY PHARMACEUTICALS, INC.</t>
  </si>
  <si>
    <t>Barracuda Networks, Inc. - Endorsed App - Zylo</t>
  </si>
  <si>
    <t>0016000000IiQc4AAF</t>
  </si>
  <si>
    <t>0067V00002733idQAA</t>
  </si>
  <si>
    <t>Barracuda Networks, Inc.</t>
  </si>
  <si>
    <t>Colony Hardware Corporation - Endorsed App - Motus</t>
  </si>
  <si>
    <t>0013200001GrkRWAAZ</t>
  </si>
  <si>
    <t>006Pg000009oAS1IAM</t>
  </si>
  <si>
    <t>Colony Hardware Corporation</t>
  </si>
  <si>
    <t>Pharmalogic - Endorsed App - Medpro - Expense</t>
  </si>
  <si>
    <t>0010e00001KQtqnAAD</t>
  </si>
  <si>
    <t>006Pg00000CQmjeIAD</t>
  </si>
  <si>
    <t>Pharmalogic</t>
  </si>
  <si>
    <t>Saluda Medical - Endorsed App - MedPro - Expense</t>
  </si>
  <si>
    <t>0017V00001S7chFQAR</t>
  </si>
  <si>
    <t>0067V00002C9nYJQAZ</t>
  </si>
  <si>
    <t>Saluda Medical</t>
  </si>
  <si>
    <t>Cloudflare, Inc. - HDS</t>
  </si>
  <si>
    <t>0016000000u1bw5AAA</t>
  </si>
  <si>
    <t>0067V00002C9XlNQAV</t>
  </si>
  <si>
    <t>Cloudflare, Inc.</t>
  </si>
  <si>
    <t>Hood Industries, Inc. - Endorsed App - Motus Connector</t>
  </si>
  <si>
    <t>0016000000IAVigAAH</t>
  </si>
  <si>
    <t>006Pg00000KgXyYIAV</t>
  </si>
  <si>
    <t>Hood Industries, Inc.</t>
  </si>
  <si>
    <t>CareDx, Inc.- Endorsed App - Medpro - Expense</t>
  </si>
  <si>
    <t>0017V00001S5w4dQAB</t>
  </si>
  <si>
    <t>0067V00002C8x6PQAR</t>
  </si>
  <si>
    <t>CareDx, Inc.</t>
  </si>
  <si>
    <t>Ventec Life Systems Inc - Endorsed App - MedPro - Expense</t>
  </si>
  <si>
    <t>0010e00001JIyHqAAL</t>
  </si>
  <si>
    <t>0067V00002CAXotQAH</t>
  </si>
  <si>
    <t>Ventec Life Systems Inc</t>
  </si>
  <si>
    <t>Replimune, Inc. - Endorsed App - MedPro - Expense</t>
  </si>
  <si>
    <t>0010e00001Jc3DnAAJ</t>
  </si>
  <si>
    <t>006Pg00000LAMXpIAP</t>
  </si>
  <si>
    <t>Replimune, Inc.</t>
  </si>
  <si>
    <t>Quotient Technology Inc. - NQC_Feb24_Save</t>
  </si>
  <si>
    <t>0016000000MPk3NAAT</t>
  </si>
  <si>
    <t>0067V00002C9pKkQAJ</t>
  </si>
  <si>
    <t>Quotient Technology Inc.</t>
  </si>
  <si>
    <t>Arbor Pharmaceuticals, LLC - Endorsed App - Motus</t>
  </si>
  <si>
    <t>0067V00002CA6bJQAT</t>
  </si>
  <si>
    <t>Soleo Health - Endorsed App - MedPro - Expense</t>
  </si>
  <si>
    <t>00160000015rU6bAAE</t>
  </si>
  <si>
    <t>0067V00002CA77ZQAT</t>
  </si>
  <si>
    <t>Soleo Health</t>
  </si>
  <si>
    <t>Ventec Life Systems Inc - Endorsed App - Motus - React Health</t>
  </si>
  <si>
    <t>006Pg00000Kh60DIAR</t>
  </si>
  <si>
    <t>Dominion Diagnostics, LLC - Endorsed App - MedPro - Expense</t>
  </si>
  <si>
    <t>0016000000KSGSxAAP</t>
  </si>
  <si>
    <t>0067V00002CAHt2QAH</t>
  </si>
  <si>
    <t>Dominion Diagnostics, LLC</t>
  </si>
  <si>
    <t>Alabama Farmers Cooperative, Inc. - Endorsed App - Motus - Additional Drivers - Q4/24</t>
  </si>
  <si>
    <t>0016000000IhlgPAAR</t>
  </si>
  <si>
    <t>006Pg00000M1BHhIAN</t>
  </si>
  <si>
    <t>Alabama Farmers Cooperative, Inc.</t>
  </si>
  <si>
    <t>Veloxis Pharmaceuticals, Inc. - Endorsed App - Motus</t>
  </si>
  <si>
    <t>00160000013jvHBAAY</t>
  </si>
  <si>
    <t>006Pg00000IdZoNIAV</t>
  </si>
  <si>
    <t>Veloxis Pharmaceuticals, Inc.</t>
  </si>
  <si>
    <t>Verrica Pharmaceuticals - Endorsed App - MedPro - Export</t>
  </si>
  <si>
    <t>0010e00001KdorsAAB</t>
  </si>
  <si>
    <t>006Pg000009rJLtIAM</t>
  </si>
  <si>
    <t>Verrica Pharmaceuticals</t>
  </si>
  <si>
    <t>Stimlabs LLC - Endorsed App - MedPro - Export</t>
  </si>
  <si>
    <t>0010e00001KrbSRAAZ</t>
  </si>
  <si>
    <t>006Pg00000FOBWLIA5</t>
  </si>
  <si>
    <t>Stimlabs LLC</t>
  </si>
  <si>
    <t>AZURITY PHARMACEUTICALS, INC. - Endorsed App - MedPro - Export</t>
  </si>
  <si>
    <t>006Pg00000F5gQzIAJ</t>
  </si>
  <si>
    <t>Harrow Health Inc. - Endorsed App - MedPro - Export</t>
  </si>
  <si>
    <t>0016000000w4OYIAA2</t>
  </si>
  <si>
    <t>0067V00002C9U78QAF</t>
  </si>
  <si>
    <t>Ben Henderson</t>
  </si>
  <si>
    <t>Harrow Health Inc.</t>
  </si>
  <si>
    <t>CareDx, Inc. - Endorsed App - MedPro - Export</t>
  </si>
  <si>
    <t>0067V00002CAjgaQAD</t>
  </si>
  <si>
    <t>Valley National Bank - Endorsed App - ISOS</t>
  </si>
  <si>
    <t>0016000000IAcWTAA1</t>
  </si>
  <si>
    <t>0067V00002D6jeyQAB</t>
  </si>
  <si>
    <t>Valley National Bank</t>
  </si>
  <si>
    <t>Organogenesis Inc - Endorsed App - MedPro - Export</t>
  </si>
  <si>
    <t>006Pg00000A8X4IIAV</t>
  </si>
  <si>
    <t>Exeltis USA, Inc. - Endorsed App - MedPro - Export</t>
  </si>
  <si>
    <t>0016000000IAeWDAA1</t>
  </si>
  <si>
    <t>006Pg00000D2lwDIAR</t>
  </si>
  <si>
    <t>Exeltis USA, Inc.</t>
  </si>
  <si>
    <t>Syndax Pharmaceuticals, Inc. - Endorsed App - MedPro - Export</t>
  </si>
  <si>
    <t>0016000000fwNjYAAU</t>
  </si>
  <si>
    <t>006Pg00000HVrHaIAL</t>
  </si>
  <si>
    <t>Syndax Pharmaceuticals, Inc.</t>
  </si>
  <si>
    <t>Replimune, Inc. - Endorsed App - MedPro - Export</t>
  </si>
  <si>
    <t>006Pg00000LAQBdIAP</t>
  </si>
  <si>
    <t>Soleo Health - Endorsed App - MedPro - Export</t>
  </si>
  <si>
    <t>0067V00002CA77jQAD</t>
  </si>
  <si>
    <t>2025 Plan</t>
  </si>
  <si>
    <t>2025 Performance to Plan</t>
  </si>
  <si>
    <t>Est. 2026 CW ARR Goal</t>
  </si>
  <si>
    <t>26 Budgeted Headcount</t>
  </si>
  <si>
    <t>2026 Productive HC Factor</t>
  </si>
  <si>
    <t>2026 Productive Headcount</t>
  </si>
  <si>
    <t>2026 Ending Productivity</t>
  </si>
  <si>
    <t>Base 2025 Quota</t>
  </si>
  <si>
    <t>2025 Projected Finish</t>
  </si>
  <si>
    <t>102,724k</t>
  </si>
  <si>
    <t>18,975k</t>
  </si>
  <si>
    <t>39,474k</t>
  </si>
  <si>
    <t>44,275k</t>
  </si>
  <si>
    <t>2025 Quota allocation (Plan + overassign)</t>
  </si>
  <si>
    <t>25/26 Growth</t>
  </si>
  <si>
    <t>26/25 Growth over 2025 Plan</t>
  </si>
  <si>
    <t>25 Budget Headcount</t>
  </si>
  <si>
    <t xml:space="preserve">26/25 Productivity Increase </t>
  </si>
  <si>
    <t>106,434k</t>
  </si>
  <si>
    <t>19,672k</t>
  </si>
  <si>
    <t>42,212k</t>
  </si>
  <si>
    <t>44,550k</t>
  </si>
  <si>
    <t>2025 Quota (including overassign)</t>
  </si>
  <si>
    <t>2025 Account Volume</t>
  </si>
  <si>
    <t>2025 Account Volume per rep</t>
  </si>
  <si>
    <t>2026 Planned Account Volume</t>
  </si>
  <si>
    <t>2026 Planned Account Volume per rep</t>
  </si>
  <si>
    <t>YoY change</t>
  </si>
  <si>
    <t>1,075k</t>
  </si>
  <si>
    <t>1,034k</t>
  </si>
  <si>
    <t>572k</t>
  </si>
  <si>
    <t>993k</t>
  </si>
  <si>
    <t>1,760k</t>
  </si>
  <si>
    <t>Percent of CW Goal (2025)</t>
  </si>
  <si>
    <t>2026 Starting HC</t>
  </si>
  <si>
    <t>2026 USD  CW ARR Goal</t>
  </si>
  <si>
    <t>US Client Sales Key</t>
  </si>
  <si>
    <t>US Client Sales Strategic</t>
  </si>
  <si>
    <t>US Client Sales Premier</t>
  </si>
  <si>
    <t>2026 P&amp;L</t>
  </si>
  <si>
    <t>2026 Overassign</t>
  </si>
  <si>
    <t>Column1</t>
  </si>
  <si>
    <t>US Client Sales Total</t>
  </si>
  <si>
    <t>Assigned Quota (P&amp;L+Overassign)</t>
  </si>
  <si>
    <t>2025 Quota</t>
  </si>
  <si>
    <t>2026Quota</t>
  </si>
  <si>
    <t>YoY Increase</t>
  </si>
  <si>
    <t>YoY Increase %</t>
  </si>
  <si>
    <t>LTC Multiplier</t>
  </si>
  <si>
    <t>% of total ARR</t>
  </si>
  <si>
    <t>Additional LTC Overassign</t>
  </si>
  <si>
    <t>.</t>
  </si>
  <si>
    <t>Rep Quotas</t>
  </si>
  <si>
    <t>Marissa Mock</t>
  </si>
  <si>
    <t>Anders Halvorsen</t>
  </si>
  <si>
    <t>Brianna Basolo</t>
  </si>
  <si>
    <t>Christopher Spencer</t>
  </si>
  <si>
    <t>Jacob Nickoloff</t>
  </si>
  <si>
    <t>Libby Hartnagel</t>
  </si>
  <si>
    <t>Kelsey Fredrickson</t>
  </si>
  <si>
    <t>Mackenzie Bowen</t>
  </si>
  <si>
    <t>Teylen Sheesley</t>
  </si>
  <si>
    <t>Rachel Meyer</t>
  </si>
  <si>
    <t>Austin Aghamirzai</t>
  </si>
  <si>
    <t>Joseph Bellefeuille</t>
  </si>
  <si>
    <t>Steve Snediker</t>
  </si>
  <si>
    <t>Adam Sala</t>
  </si>
  <si>
    <t>Anna Christofaro</t>
  </si>
  <si>
    <t>Thomas Wahl</t>
  </si>
  <si>
    <t>Ty Saathoff</t>
  </si>
  <si>
    <t>Emily Norris</t>
  </si>
  <si>
    <t>Evan Smith</t>
  </si>
  <si>
    <t>Michael Monello</t>
  </si>
  <si>
    <t>Nate Heussner</t>
  </si>
  <si>
    <t>Zachary Uttech</t>
  </si>
  <si>
    <t>Joseph Zangel</t>
  </si>
  <si>
    <t>Samantha O'Connell</t>
  </si>
  <si>
    <t>Per Rep</t>
  </si>
  <si>
    <t>For 7 reps</t>
  </si>
  <si>
    <t>For 6 reps</t>
  </si>
  <si>
    <t>Delta</t>
  </si>
  <si>
    <t>SL Quotas (7% overassoign)</t>
  </si>
  <si>
    <t>2026 ARR</t>
  </si>
  <si>
    <t>Client Sales Strategic</t>
  </si>
  <si>
    <t>Client Sales Key</t>
  </si>
  <si>
    <t>Client Sales Premier</t>
  </si>
  <si>
    <t>Total Client Sales</t>
  </si>
  <si>
    <t>2026 Goal</t>
  </si>
  <si>
    <t>Rep Overassign</t>
  </si>
  <si>
    <t>Leader Coverage</t>
  </si>
  <si>
    <t>Goal + Leader Overassign (7%)</t>
  </si>
  <si>
    <t>2025 Quotas</t>
  </si>
  <si>
    <t>% change YoY</t>
  </si>
  <si>
    <t>Change YoY</t>
  </si>
  <si>
    <t>Breakdown of Quotas</t>
  </si>
  <si>
    <t>P&amp;L Quotas</t>
  </si>
  <si>
    <t xml:space="preserve"> January </t>
  </si>
  <si>
    <t xml:space="preserve"> February </t>
  </si>
  <si>
    <t xml:space="preserve"> March </t>
  </si>
  <si>
    <t xml:space="preserve"> April </t>
  </si>
  <si>
    <t xml:space="preserve"> May </t>
  </si>
  <si>
    <t xml:space="preserve"> June </t>
  </si>
  <si>
    <t xml:space="preserve"> July </t>
  </si>
  <si>
    <t xml:space="preserve"> August </t>
  </si>
  <si>
    <t xml:space="preserve"> September </t>
  </si>
  <si>
    <t xml:space="preserve"> October </t>
  </si>
  <si>
    <t xml:space="preserve"> November </t>
  </si>
  <si>
    <t xml:space="preserve"> December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</si>
</sst>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#,\k"/>
    <numFmt numFmtId="166" formatCode="#,###.00,\k"/>
    <numFmt numFmtId="167" formatCode="0.0"/>
    <numFmt numFmtId="168" formatCode="_(* #,##0_);_(* \(#,##0\);_(* &quot;-&quot;??_);_(@_)"/>
    <numFmt numFmtId="169" formatCode="0.000"/>
    <numFmt numFmtId="170" formatCode="_(&quot;$&quot;* #,##0_);_(&quot;$&quot;* \(#,##0\);_(&quot;$&quot;* &quot;-&quot;??_);_(@_)"/>
    <numFmt numFmtId="171" formatCode="&quot;$&quot;#,##0"/>
    <numFmt numFmtId="172" formatCode="&quot;$&quot;#,##0.00"/>
    <numFmt numFmtId="173" formatCode="0.000%"/>
    <numFmt numFmtId="174" formatCode="_(* #,##0.0_);_(* \(#,##0.0\);_(* &quot;-&quot;??_);_(@_)"/>
    <numFmt numFmtId="175" formatCode="[$EUR]\ #,##0.00"/>
    <numFmt numFmtId="176" formatCode="0.000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BentonSans Book"/>
    </font>
    <font>
      <b/>
      <sz val="14"/>
      <color theme="1"/>
      <name val="BentonSans Book"/>
    </font>
    <font>
      <b/>
      <sz val="9"/>
      <color theme="1"/>
      <name val="BentonSans Book"/>
    </font>
    <font>
      <sz val="11"/>
      <color theme="1"/>
      <name val="BentonSans Book"/>
      <family val="2"/>
    </font>
    <font>
      <sz val="9"/>
      <name val="BentonSans Book"/>
    </font>
    <font>
      <b/>
      <sz val="9"/>
      <name val="BentonSans Book"/>
    </font>
    <font>
      <sz val="10"/>
      <name val="Arial"/>
      <family val="2"/>
    </font>
    <font>
      <sz val="9"/>
      <color rgb="FFFF0000"/>
      <name val="BentonSans Book"/>
    </font>
    <font>
      <b/>
      <sz val="9"/>
      <color rgb="FFFF0000"/>
      <name val="BentonSans Book"/>
    </font>
    <font>
      <sz val="9"/>
      <color rgb="FF000000"/>
      <name val="BentonSans Book"/>
    </font>
    <font>
      <sz val="9"/>
      <color theme="0"/>
      <name val="BentonSans Book"/>
    </font>
    <font>
      <sz val="10"/>
      <color theme="0"/>
      <name val="BentonSans Book"/>
    </font>
    <font>
      <sz val="10"/>
      <color theme="1"/>
      <name val="BentonSans Book"/>
    </font>
    <font>
      <sz val="11"/>
      <color rgb="FF333333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9"/>
      <color rgb="FF000000"/>
      <name val="BentonSans Book"/>
    </font>
    <font>
      <sz val="9"/>
      <color rgb="FF000000"/>
      <name val="72 Brand"/>
      <family val="2"/>
    </font>
    <font>
      <sz val="11"/>
      <color rgb="FF000000"/>
      <name val="Bentnsa"/>
    </font>
    <font>
      <sz val="9"/>
      <color rgb="FF000000"/>
      <name val="Bentnsa"/>
    </font>
    <font>
      <b/>
      <sz val="14"/>
      <color theme="0"/>
      <name val="BentonSans Book"/>
    </font>
    <font>
      <b/>
      <sz val="14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6F4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AFAFA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44546A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 style="thin">
        <color indexed="64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10" fillId="0" borderId="0"/>
    <xf numFmtId="9" fontId="7" fillId="0" borderId="0" applyFont="0" applyFill="0" applyBorder="0" applyAlignment="0" applyProtection="0"/>
  </cellStyleXfs>
  <cellXfs count="22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164" fontId="4" fillId="0" borderId="0" xfId="3" applyNumberFormat="1" applyFont="1" applyAlignment="1">
      <alignment horizontal="right"/>
    </xf>
    <xf numFmtId="44" fontId="4" fillId="0" borderId="0" xfId="2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Font="1"/>
    <xf numFmtId="0" fontId="6" fillId="0" borderId="1" xfId="4" applyFont="1" applyBorder="1" applyAlignment="1">
      <alignment horizontal="right" vertic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/>
    </xf>
    <xf numFmtId="165" fontId="8" fillId="3" borderId="0" xfId="0" applyNumberFormat="1" applyFont="1" applyFill="1" applyAlignment="1">
      <alignment horizontal="right" vertical="center"/>
    </xf>
    <xf numFmtId="0" fontId="10" fillId="0" borderId="0" xfId="5" applyAlignment="1">
      <alignment vertical="top"/>
    </xf>
    <xf numFmtId="0" fontId="6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right" vertical="center"/>
    </xf>
    <xf numFmtId="9" fontId="4" fillId="0" borderId="0" xfId="3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65" fontId="11" fillId="0" borderId="0" xfId="0" applyNumberFormat="1" applyFont="1" applyAlignment="1">
      <alignment horizontal="right" vertical="center"/>
    </xf>
    <xf numFmtId="9" fontId="11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9" fontId="8" fillId="0" borderId="0" xfId="0" applyNumberFormat="1" applyFont="1" applyAlignment="1">
      <alignment horizontal="right" vertical="center"/>
    </xf>
    <xf numFmtId="0" fontId="6" fillId="4" borderId="3" xfId="4" applyFont="1" applyFill="1" applyBorder="1" applyAlignment="1">
      <alignment horizontal="left"/>
    </xf>
    <xf numFmtId="0" fontId="4" fillId="4" borderId="0" xfId="4" applyFont="1" applyFill="1" applyAlignment="1">
      <alignment horizontal="left"/>
    </xf>
    <xf numFmtId="0" fontId="4" fillId="4" borderId="0" xfId="0" applyFont="1" applyFill="1" applyAlignment="1">
      <alignment horizontal="right" vertical="center"/>
    </xf>
    <xf numFmtId="0" fontId="5" fillId="5" borderId="4" xfId="0" applyFont="1" applyFill="1" applyBorder="1" applyAlignment="1">
      <alignment horizontal="center" vertical="center"/>
    </xf>
    <xf numFmtId="0" fontId="6" fillId="0" borderId="1" xfId="4" applyFont="1" applyBorder="1" applyAlignment="1">
      <alignment horizontal="center" vertical="center" wrapText="1"/>
    </xf>
    <xf numFmtId="0" fontId="6" fillId="0" borderId="1" xfId="4" applyFont="1" applyBorder="1" applyAlignment="1">
      <alignment horizontal="left" vertical="center"/>
    </xf>
    <xf numFmtId="0" fontId="6" fillId="0" borderId="3" xfId="4" applyFont="1" applyBorder="1" applyAlignment="1">
      <alignment horizontal="left" vertical="center"/>
    </xf>
    <xf numFmtId="164" fontId="4" fillId="0" borderId="0" xfId="3" applyNumberFormat="1" applyFont="1" applyFill="1" applyAlignment="1">
      <alignment horizontal="right" vertical="center"/>
    </xf>
    <xf numFmtId="0" fontId="13" fillId="0" borderId="0" xfId="0" applyFont="1" applyAlignment="1">
      <alignment horizontal="left" vertical="center"/>
    </xf>
    <xf numFmtId="164" fontId="14" fillId="7" borderId="0" xfId="0" applyNumberFormat="1" applyFont="1" applyFill="1" applyAlignment="1">
      <alignment horizontal="right" vertical="center"/>
    </xf>
    <xf numFmtId="165" fontId="9" fillId="8" borderId="0" xfId="0" applyNumberFormat="1" applyFont="1" applyFill="1" applyAlignment="1">
      <alignment horizontal="right" vertical="center"/>
    </xf>
    <xf numFmtId="165" fontId="4" fillId="0" borderId="0" xfId="0" applyNumberFormat="1" applyFont="1"/>
    <xf numFmtId="164" fontId="8" fillId="9" borderId="0" xfId="3" applyNumberFormat="1" applyFont="1" applyFill="1" applyAlignment="1">
      <alignment horizontal="right" vertical="center"/>
    </xf>
    <xf numFmtId="1" fontId="9" fillId="8" borderId="0" xfId="0" applyNumberFormat="1" applyFont="1" applyFill="1" applyAlignment="1">
      <alignment horizontal="right" vertical="center"/>
    </xf>
    <xf numFmtId="164" fontId="4" fillId="0" borderId="0" xfId="3" applyNumberFormat="1" applyFont="1" applyAlignment="1">
      <alignment horizontal="right" vertical="center"/>
    </xf>
    <xf numFmtId="43" fontId="4" fillId="0" borderId="0" xfId="0" applyNumberFormat="1" applyFont="1" applyAlignment="1">
      <alignment horizontal="right" vertical="center"/>
    </xf>
    <xf numFmtId="164" fontId="4" fillId="0" borderId="0" xfId="6" applyNumberFormat="1" applyFont="1" applyAlignment="1">
      <alignment horizontal="right" vertical="center"/>
    </xf>
    <xf numFmtId="0" fontId="4" fillId="0" borderId="0" xfId="4" applyFont="1" applyAlignment="1">
      <alignment horizontal="left" vertical="center"/>
    </xf>
    <xf numFmtId="44" fontId="4" fillId="0" borderId="0" xfId="2" applyFont="1"/>
    <xf numFmtId="9" fontId="4" fillId="0" borderId="0" xfId="3" applyFont="1" applyAlignment="1">
      <alignment horizontal="right" vertical="center"/>
    </xf>
    <xf numFmtId="0" fontId="6" fillId="4" borderId="3" xfId="4" applyFont="1" applyFill="1" applyBorder="1" applyAlignment="1">
      <alignment horizontal="left" vertical="center"/>
    </xf>
    <xf numFmtId="0" fontId="4" fillId="4" borderId="0" xfId="4" applyFont="1" applyFill="1" applyAlignment="1">
      <alignment horizontal="left" vertical="center"/>
    </xf>
    <xf numFmtId="0" fontId="6" fillId="10" borderId="3" xfId="4" applyFont="1" applyFill="1" applyBorder="1" applyAlignment="1">
      <alignment horizontal="left" vertical="center"/>
    </xf>
    <xf numFmtId="166" fontId="4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6" fillId="0" borderId="0" xfId="4" applyFont="1" applyAlignment="1">
      <alignment horizontal="left" vertical="center"/>
    </xf>
    <xf numFmtId="43" fontId="4" fillId="0" borderId="0" xfId="1" applyFont="1" applyAlignment="1">
      <alignment horizontal="right"/>
    </xf>
    <xf numFmtId="4" fontId="4" fillId="0" borderId="0" xfId="0" applyNumberFormat="1" applyFont="1" applyAlignment="1">
      <alignment horizontal="right"/>
    </xf>
    <xf numFmtId="43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9" fontId="4" fillId="0" borderId="0" xfId="6" applyFont="1" applyAlignment="1">
      <alignment horizontal="right"/>
    </xf>
    <xf numFmtId="2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8" fontId="4" fillId="0" borderId="0" xfId="1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15" fillId="7" borderId="5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vertical="center" wrapText="1"/>
    </xf>
    <xf numFmtId="0" fontId="15" fillId="5" borderId="5" xfId="0" applyFont="1" applyFill="1" applyBorder="1" applyAlignment="1">
      <alignment horizontal="center" vertical="center" wrapText="1"/>
    </xf>
    <xf numFmtId="44" fontId="15" fillId="5" borderId="5" xfId="2" applyFont="1" applyFill="1" applyBorder="1" applyAlignment="1">
      <alignment horizontal="center" vertical="center" wrapText="1"/>
    </xf>
    <xf numFmtId="164" fontId="15" fillId="5" borderId="5" xfId="3" applyNumberFormat="1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169" fontId="15" fillId="12" borderId="5" xfId="3" applyNumberFormat="1" applyFont="1" applyFill="1" applyBorder="1" applyAlignment="1">
      <alignment horizontal="center" vertical="center" wrapText="1"/>
    </xf>
    <xf numFmtId="164" fontId="15" fillId="12" borderId="5" xfId="3" applyNumberFormat="1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vertical="center"/>
    </xf>
    <xf numFmtId="0" fontId="15" fillId="6" borderId="5" xfId="0" applyFont="1" applyFill="1" applyBorder="1" applyAlignment="1">
      <alignment horizontal="left" vertical="center"/>
    </xf>
    <xf numFmtId="164" fontId="15" fillId="6" borderId="5" xfId="3" applyNumberFormat="1" applyFont="1" applyFill="1" applyBorder="1" applyAlignment="1">
      <alignment horizontal="center" vertical="center"/>
    </xf>
    <xf numFmtId="44" fontId="15" fillId="6" borderId="5" xfId="2" applyFont="1" applyFill="1" applyBorder="1" applyAlignment="1">
      <alignment horizontal="left" vertical="center"/>
    </xf>
    <xf numFmtId="1" fontId="15" fillId="6" borderId="5" xfId="0" applyNumberFormat="1" applyFont="1" applyFill="1" applyBorder="1" applyAlignment="1">
      <alignment horizontal="center" vertical="center"/>
    </xf>
    <xf numFmtId="44" fontId="15" fillId="6" borderId="5" xfId="0" applyNumberFormat="1" applyFont="1" applyFill="1" applyBorder="1" applyAlignment="1">
      <alignment horizontal="left" vertical="center"/>
    </xf>
    <xf numFmtId="170" fontId="15" fillId="6" borderId="5" xfId="2" applyNumberFormat="1" applyFont="1" applyFill="1" applyBorder="1" applyAlignment="1">
      <alignment horizontal="center" vertical="center"/>
    </xf>
    <xf numFmtId="44" fontId="0" fillId="0" borderId="0" xfId="0" applyNumberFormat="1"/>
    <xf numFmtId="164" fontId="0" fillId="0" borderId="0" xfId="0" applyNumberFormat="1"/>
    <xf numFmtId="171" fontId="0" fillId="0" borderId="0" xfId="0" applyNumberFormat="1"/>
    <xf numFmtId="9" fontId="0" fillId="0" borderId="0" xfId="0" applyNumberFormat="1"/>
    <xf numFmtId="0" fontId="2" fillId="0" borderId="0" xfId="0" applyFont="1"/>
    <xf numFmtId="9" fontId="2" fillId="0" borderId="0" xfId="0" applyNumberFormat="1" applyFont="1"/>
    <xf numFmtId="171" fontId="2" fillId="0" borderId="0" xfId="0" applyNumberFormat="1" applyFont="1"/>
    <xf numFmtId="171" fontId="17" fillId="0" borderId="0" xfId="0" applyNumberFormat="1" applyFont="1"/>
    <xf numFmtId="171" fontId="18" fillId="0" borderId="0" xfId="0" applyNumberFormat="1" applyFont="1"/>
    <xf numFmtId="171" fontId="19" fillId="0" borderId="0" xfId="0" applyNumberFormat="1" applyFont="1"/>
    <xf numFmtId="171" fontId="15" fillId="6" borderId="0" xfId="3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1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171" fontId="0" fillId="0" borderId="0" xfId="0" applyNumberFormat="1" applyAlignment="1">
      <alignment horizontal="right" wrapText="1"/>
    </xf>
    <xf numFmtId="14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171" fontId="8" fillId="0" borderId="0" xfId="0" applyNumberFormat="1" applyFont="1"/>
    <xf numFmtId="171" fontId="10" fillId="0" borderId="0" xfId="5" applyNumberFormat="1" applyAlignment="1">
      <alignment vertical="top"/>
    </xf>
    <xf numFmtId="171" fontId="4" fillId="0" borderId="0" xfId="0" applyNumberFormat="1" applyFont="1"/>
    <xf numFmtId="9" fontId="4" fillId="0" borderId="0" xfId="0" applyNumberFormat="1" applyFont="1"/>
    <xf numFmtId="0" fontId="9" fillId="13" borderId="0" xfId="0" applyFont="1" applyFill="1" applyAlignment="1">
      <alignment horizontal="right" vertical="center"/>
    </xf>
    <xf numFmtId="9" fontId="4" fillId="0" borderId="0" xfId="0" applyNumberFormat="1" applyFont="1" applyAlignment="1">
      <alignment horizontal="right" vertical="center"/>
    </xf>
    <xf numFmtId="9" fontId="4" fillId="4" borderId="0" xfId="0" applyNumberFormat="1" applyFont="1" applyFill="1" applyAlignment="1">
      <alignment horizontal="right" vertical="center"/>
    </xf>
    <xf numFmtId="172" fontId="0" fillId="0" borderId="0" xfId="0" applyNumberFormat="1"/>
    <xf numFmtId="10" fontId="0" fillId="0" borderId="0" xfId="0" applyNumberFormat="1"/>
    <xf numFmtId="44" fontId="2" fillId="0" borderId="0" xfId="0" applyNumberFormat="1" applyFont="1"/>
    <xf numFmtId="9" fontId="15" fillId="6" borderId="0" xfId="3" applyFont="1" applyFill="1" applyBorder="1" applyAlignment="1">
      <alignment horizontal="center" vertical="center"/>
    </xf>
    <xf numFmtId="173" fontId="15" fillId="6" borderId="5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174" fontId="3" fillId="6" borderId="5" xfId="1" applyNumberFormat="1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5" xfId="0" applyBorder="1"/>
    <xf numFmtId="168" fontId="0" fillId="0" borderId="5" xfId="1" applyNumberFormat="1" applyFont="1" applyBorder="1"/>
    <xf numFmtId="9" fontId="0" fillId="0" borderId="5" xfId="3" applyFont="1" applyBorder="1"/>
    <xf numFmtId="168" fontId="0" fillId="0" borderId="0" xfId="0" applyNumberFormat="1"/>
    <xf numFmtId="168" fontId="0" fillId="0" borderId="0" xfId="1" applyNumberFormat="1" applyFont="1"/>
    <xf numFmtId="174" fontId="3" fillId="6" borderId="5" xfId="1" applyNumberFormat="1" applyFont="1" applyFill="1" applyBorder="1" applyAlignment="1">
      <alignment horizontal="center"/>
    </xf>
    <xf numFmtId="0" fontId="20" fillId="0" borderId="0" xfId="0" applyFont="1"/>
    <xf numFmtId="44" fontId="0" fillId="0" borderId="5" xfId="0" applyNumberFormat="1" applyBorder="1"/>
    <xf numFmtId="171" fontId="2" fillId="0" borderId="0" xfId="0" applyNumberFormat="1" applyFont="1" applyAlignment="1">
      <alignment horizontal="right"/>
    </xf>
    <xf numFmtId="171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175" fontId="2" fillId="0" borderId="0" xfId="0" applyNumberFormat="1" applyFont="1"/>
    <xf numFmtId="175" fontId="0" fillId="0" borderId="0" xfId="0" applyNumberFormat="1"/>
    <xf numFmtId="0" fontId="10" fillId="0" borderId="0" xfId="0" applyFont="1" applyAlignment="1">
      <alignment vertical="top"/>
    </xf>
    <xf numFmtId="4" fontId="0" fillId="0" borderId="0" xfId="0" applyNumberFormat="1"/>
    <xf numFmtId="172" fontId="0" fillId="0" borderId="0" xfId="0" applyNumberFormat="1" applyAlignment="1">
      <alignment horizontal="right"/>
    </xf>
    <xf numFmtId="176" fontId="0" fillId="0" borderId="0" xfId="0" applyNumberFormat="1"/>
    <xf numFmtId="172" fontId="0" fillId="0" borderId="5" xfId="0" applyNumberFormat="1" applyBorder="1"/>
    <xf numFmtId="10" fontId="0" fillId="0" borderId="0" xfId="0" applyNumberFormat="1" applyAlignment="1">
      <alignment wrapText="1"/>
    </xf>
    <xf numFmtId="0" fontId="3" fillId="6" borderId="5" xfId="0" applyFont="1" applyFill="1" applyBorder="1"/>
    <xf numFmtId="9" fontId="0" fillId="0" borderId="5" xfId="3" applyFont="1" applyBorder="1" applyAlignment="1"/>
    <xf numFmtId="174" fontId="3" fillId="6" borderId="5" xfId="1" applyNumberFormat="1" applyFont="1" applyFill="1" applyBorder="1" applyAlignment="1"/>
    <xf numFmtId="10" fontId="2" fillId="0" borderId="0" xfId="0" applyNumberFormat="1" applyFont="1"/>
    <xf numFmtId="0" fontId="21" fillId="0" borderId="0" xfId="0" applyFont="1"/>
    <xf numFmtId="0" fontId="21" fillId="0" borderId="0" xfId="0" applyFont="1" applyAlignment="1">
      <alignment horizontal="left"/>
    </xf>
    <xf numFmtId="0" fontId="21" fillId="0" borderId="1" xfId="0" applyFont="1" applyBorder="1" applyAlignment="1">
      <alignment horizontal="right" vertical="center" wrapText="1"/>
    </xf>
    <xf numFmtId="0" fontId="21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9" fontId="13" fillId="0" borderId="0" xfId="0" applyNumberFormat="1" applyFont="1" applyAlignment="1">
      <alignment horizontal="right"/>
    </xf>
    <xf numFmtId="0" fontId="6" fillId="0" borderId="0" xfId="4" applyFont="1" applyAlignment="1">
      <alignment horizontal="center" vertical="center" wrapText="1"/>
    </xf>
    <xf numFmtId="0" fontId="6" fillId="0" borderId="0" xfId="4" applyFont="1" applyAlignment="1">
      <alignment horizontal="right" vertical="center" wrapText="1"/>
    </xf>
    <xf numFmtId="164" fontId="4" fillId="3" borderId="0" xfId="4" applyNumberFormat="1" applyFont="1" applyFill="1" applyAlignment="1">
      <alignment horizontal="right" vertical="center" wrapText="1"/>
    </xf>
    <xf numFmtId="0" fontId="8" fillId="14" borderId="0" xfId="0" applyFont="1" applyFill="1" applyAlignment="1">
      <alignment horizontal="left"/>
    </xf>
    <xf numFmtId="0" fontId="21" fillId="0" borderId="3" xfId="0" applyFont="1" applyBorder="1" applyAlignment="1">
      <alignment horizontal="left" vertical="center"/>
    </xf>
    <xf numFmtId="0" fontId="21" fillId="13" borderId="3" xfId="0" applyFont="1" applyFill="1" applyBorder="1" applyAlignment="1">
      <alignment horizontal="left" vertical="center"/>
    </xf>
    <xf numFmtId="0" fontId="21" fillId="13" borderId="0" xfId="0" applyFont="1" applyFill="1" applyAlignment="1">
      <alignment horizontal="left" vertical="center"/>
    </xf>
    <xf numFmtId="10" fontId="13" fillId="13" borderId="0" xfId="0" applyNumberFormat="1" applyFont="1" applyFill="1" applyAlignment="1">
      <alignment horizontal="right" vertical="center"/>
    </xf>
    <xf numFmtId="3" fontId="24" fillId="0" borderId="0" xfId="0" applyNumberFormat="1" applyFont="1"/>
    <xf numFmtId="0" fontId="24" fillId="0" borderId="0" xfId="0" applyFont="1"/>
    <xf numFmtId="3" fontId="24" fillId="13" borderId="0" xfId="0" applyNumberFormat="1" applyFont="1" applyFill="1"/>
    <xf numFmtId="0" fontId="24" fillId="13" borderId="0" xfId="0" applyFont="1" applyFill="1"/>
    <xf numFmtId="0" fontId="4" fillId="15" borderId="0" xfId="4" applyFont="1" applyFill="1" applyAlignment="1">
      <alignment horizontal="left" vertical="center"/>
    </xf>
    <xf numFmtId="0" fontId="4" fillId="15" borderId="0" xfId="0" applyFont="1" applyFill="1" applyAlignment="1">
      <alignment horizontal="right" vertical="center"/>
    </xf>
    <xf numFmtId="0" fontId="23" fillId="15" borderId="0" xfId="0" applyFont="1" applyFill="1"/>
    <xf numFmtId="0" fontId="5" fillId="6" borderId="0" xfId="0" applyFont="1" applyFill="1"/>
    <xf numFmtId="0" fontId="25" fillId="5" borderId="4" xfId="0" applyFont="1" applyFill="1" applyBorder="1" applyAlignment="1">
      <alignment horizontal="center" vertical="center"/>
    </xf>
    <xf numFmtId="1" fontId="24" fillId="13" borderId="0" xfId="0" applyNumberFormat="1" applyFont="1" applyFill="1"/>
    <xf numFmtId="1" fontId="24" fillId="0" borderId="0" xfId="0" applyNumberFormat="1" applyFont="1"/>
    <xf numFmtId="0" fontId="6" fillId="15" borderId="3" xfId="4" applyFont="1" applyFill="1" applyBorder="1" applyAlignment="1">
      <alignment horizontal="left" vertical="center"/>
    </xf>
    <xf numFmtId="0" fontId="21" fillId="16" borderId="3" xfId="0" applyFont="1" applyFill="1" applyBorder="1" applyAlignment="1">
      <alignment horizontal="left" vertical="center"/>
    </xf>
    <xf numFmtId="0" fontId="13" fillId="16" borderId="0" xfId="0" applyFont="1" applyFill="1" applyAlignment="1">
      <alignment horizontal="left" vertical="center"/>
    </xf>
    <xf numFmtId="1" fontId="9" fillId="3" borderId="0" xfId="0" applyNumberFormat="1" applyFont="1" applyFill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165" fontId="22" fillId="0" borderId="0" xfId="0" applyNumberFormat="1" applyFont="1"/>
    <xf numFmtId="165" fontId="13" fillId="0" borderId="0" xfId="0" applyNumberFormat="1" applyFont="1"/>
    <xf numFmtId="165" fontId="13" fillId="0" borderId="0" xfId="0" applyNumberFormat="1" applyFont="1" applyAlignment="1">
      <alignment horizontal="right" vertical="center"/>
    </xf>
    <xf numFmtId="165" fontId="9" fillId="13" borderId="0" xfId="0" applyNumberFormat="1" applyFont="1" applyFill="1" applyAlignment="1">
      <alignment horizontal="right" vertical="center"/>
    </xf>
    <xf numFmtId="165" fontId="13" fillId="13" borderId="0" xfId="0" applyNumberFormat="1" applyFont="1" applyFill="1" applyAlignment="1">
      <alignment horizontal="right" vertical="center"/>
    </xf>
    <xf numFmtId="171" fontId="2" fillId="17" borderId="0" xfId="0" applyNumberFormat="1" applyFont="1" applyFill="1"/>
    <xf numFmtId="9" fontId="2" fillId="17" borderId="0" xfId="0" applyNumberFormat="1" applyFont="1" applyFill="1"/>
    <xf numFmtId="0" fontId="9" fillId="18" borderId="0" xfId="0" applyFont="1" applyFill="1" applyAlignment="1">
      <alignment horizontal="right" vertical="center"/>
    </xf>
    <xf numFmtId="172" fontId="9" fillId="18" borderId="0" xfId="0" applyNumberFormat="1" applyFont="1" applyFill="1" applyAlignment="1">
      <alignment horizontal="right" vertical="center"/>
    </xf>
    <xf numFmtId="172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6" fontId="20" fillId="0" borderId="0" xfId="0" applyNumberFormat="1" applyFont="1"/>
    <xf numFmtId="172" fontId="2" fillId="0" borderId="0" xfId="0" applyNumberFormat="1" applyFont="1"/>
    <xf numFmtId="0" fontId="0" fillId="14" borderId="0" xfId="0" applyFill="1"/>
    <xf numFmtId="0" fontId="0" fillId="19" borderId="0" xfId="0" applyFill="1"/>
    <xf numFmtId="4" fontId="0" fillId="19" borderId="0" xfId="0" applyNumberFormat="1" applyFill="1"/>
    <xf numFmtId="44" fontId="0" fillId="19" borderId="5" xfId="0" applyNumberFormat="1" applyFill="1" applyBorder="1"/>
    <xf numFmtId="0" fontId="0" fillId="20" borderId="1" xfId="0" applyFill="1" applyBorder="1"/>
    <xf numFmtId="4" fontId="0" fillId="20" borderId="1" xfId="0" applyNumberFormat="1" applyFill="1" applyBorder="1"/>
    <xf numFmtId="44" fontId="0" fillId="20" borderId="5" xfId="0" applyNumberFormat="1" applyFill="1" applyBorder="1"/>
    <xf numFmtId="176" fontId="20" fillId="0" borderId="5" xfId="0" applyNumberFormat="1" applyFont="1" applyBorder="1"/>
    <xf numFmtId="0" fontId="26" fillId="0" borderId="0" xfId="0" applyFont="1"/>
    <xf numFmtId="0" fontId="5" fillId="2" borderId="0" xfId="4" applyFont="1" applyFill="1" applyAlignment="1">
      <alignment horizontal="center" vertical="center"/>
    </xf>
    <xf numFmtId="0" fontId="5" fillId="2" borderId="2" xfId="4" applyFont="1" applyFill="1" applyBorder="1" applyAlignment="1">
      <alignment horizontal="center" vertical="center"/>
    </xf>
    <xf numFmtId="0" fontId="5" fillId="6" borderId="4" xfId="4" applyFont="1" applyFill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173" fontId="0" fillId="0" borderId="6" xfId="3" applyNumberFormat="1" applyFont="1" applyBorder="1" applyAlignment="1">
      <alignment horizontal="center" vertical="center"/>
    </xf>
    <xf numFmtId="173" fontId="0" fillId="0" borderId="7" xfId="0" applyNumberFormat="1" applyBorder="1" applyAlignment="1">
      <alignment horizontal="center" vertical="center"/>
    </xf>
    <xf numFmtId="173" fontId="0" fillId="0" borderId="8" xfId="0" applyNumberFormat="1" applyBorder="1" applyAlignment="1">
      <alignment horizontal="center" vertical="center"/>
    </xf>
    <xf numFmtId="44" fontId="0" fillId="0" borderId="6" xfId="2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64" fontId="0" fillId="0" borderId="5" xfId="3" applyNumberFormat="1" applyFont="1" applyBorder="1" applyAlignment="1">
      <alignment horizontal="center" vertical="center"/>
    </xf>
    <xf numFmtId="44" fontId="0" fillId="0" borderId="5" xfId="2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64" fontId="0" fillId="0" borderId="6" xfId="3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44" fontId="0" fillId="3" borderId="6" xfId="0" applyNumberFormat="1" applyFill="1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/>
    </xf>
    <xf numFmtId="173" fontId="0" fillId="0" borderId="6" xfId="2" applyNumberFormat="1" applyFont="1" applyBorder="1" applyAlignment="1">
      <alignment horizontal="center" vertical="center"/>
    </xf>
    <xf numFmtId="44" fontId="0" fillId="0" borderId="7" xfId="2" applyFont="1" applyBorder="1" applyAlignment="1">
      <alignment horizontal="center" vertical="center"/>
    </xf>
    <xf numFmtId="44" fontId="0" fillId="0" borderId="8" xfId="2" applyFont="1" applyBorder="1" applyAlignment="1">
      <alignment horizontal="center" vertical="center"/>
    </xf>
    <xf numFmtId="0" fontId="27" fillId="21" borderId="5" xfId="0" applyFont="1" applyFill="1" applyBorder="1" applyAlignment="1">
      <alignment horizontal="center"/>
    </xf>
    <xf numFmtId="0" fontId="27" fillId="21" borderId="9" xfId="0" applyFont="1" applyFill="1" applyBorder="1" applyAlignment="1">
      <alignment horizontal="center"/>
    </xf>
    <xf numFmtId="174" fontId="27" fillId="21" borderId="9" xfId="0" applyNumberFormat="1" applyFont="1" applyFill="1" applyBorder="1" applyAlignment="1">
      <alignment horizontal="center"/>
    </xf>
    <xf numFmtId="0" fontId="28" fillId="0" borderId="0" xfId="0" applyFont="1"/>
    <xf numFmtId="44" fontId="28" fillId="0" borderId="0" xfId="0" applyNumberFormat="1" applyFont="1"/>
  </cellXfs>
  <cellStyles count="7">
    <cellStyle name="Comma" xfId="1" builtinId="3"/>
    <cellStyle name="Currency" xfId="2" builtinId="4"/>
    <cellStyle name="Normal" xfId="0" builtinId="0"/>
    <cellStyle name="Normal 2" xfId="4" xr:uid="{104C91AE-4186-4B21-817D-E2F51234D305}"/>
    <cellStyle name="Normal 2 2" xfId="5" xr:uid="{EDF47EFF-843F-4777-868F-6FCE978610E6}"/>
    <cellStyle name="Percent" xfId="3" builtinId="5"/>
    <cellStyle name="Percent 2" xfId="6" xr:uid="{F216B78F-BBCC-4096-B353-C28B5B0F9F56}"/>
  </cellStyles>
  <dxfs count="1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</dxf>
    <dxf>
      <numFmt numFmtId="34" formatCode="_(&quot;$&quot;* #,##0.00_);_(&quot;$&quot;* \(#,##0.00\);_(&quot;$&quot;* &quot;-&quot;??_);_(@_)"/>
    </dxf>
    <dxf>
      <numFmt numFmtId="172" formatCode="&quot;$&quot;#,##0.00"/>
    </dxf>
    <dxf>
      <numFmt numFmtId="172" formatCode="&quot;$&quot;#,##0.00"/>
    </dxf>
    <dxf>
      <numFmt numFmtId="172" formatCode="&quot;$&quot;#,##0.0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p.sharepoint.com/dwdf203/globcont/Cost%20Center%20Updates/CC%20ZUST%20Analysis%20by%20Month/ZUST%208,63,64,65,219,251,257,264,265,272,278,401%20(12-14-06)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I847181/AppData/Local/Temp/ccsecure/FY2017%20P-Club%20Ranking%20Report_11.31.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p.sharepoint.com/teams/CrossFPA/Shared%20Documents/4_Planning/02%20Forecast/2020/FX%20Rates/FC10/2020/Correct/FC10%20FX%20rates_Pivot_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p.sharepoint.com/dwdf040.wdf.sap.corp/VERWALT/Users/D058474/Desktop/EY%20Risk%20assessment/SAP_Analysis_Revised_Fee_Book_SAP_22_07_13_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p.sharepoint.com/dwdf203/globcont/AMR%20Intercompany%20Transfers/2012/12-2012/1-Interco.%20Analysis%20All%20US%20(12-12-2012)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p.sharepoint.com/teams/CrossFPA/Shared%20Documents/4_Planning/01%20Budget/2022/Currency%20rates/BUD%20v2/20211216_Budget%20rates%202021_marco_final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ohne/Box%20Sync/12%20-%20December-16/S4%20HAHA%20GL%20Balances%20Migration%20-%20Dec-16/GL%20-%20Trial%20Balance%20Transactional%20Currency%20-%2012.31.20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p.sharepoint.com/dwdf203/globcont/AMR%20Intercompany%20Transfers/2012/9-2012/Revised%20Interco%20Analysis%209-14-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p.sharepoint.com/dwdf203/globcont/Cost%20Center%20Analysis%20(to%20Isolate%20Interco.)/2007%20Interco.%20CC%20Analysis%204-07%20(4-18-07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p.sharepoint.com/dwdf203/globcont/Cost%20Center%20Analysis%20(to%20Isolate%20Interco.)/2007%20Interco.%20CC%20Analysis%205-07%20(5-17-07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p.sharepoint.com/dwdf203/globcont/Cost%20Center%20Analysis%20(to%20Isolate%20Interco.)/2007%20Interco.%20CC%20Analysis%208-07%20(8-23-07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p.sharepoint.com/dwdf203/globcont/Cost%20Center%20Analysis%20(to%20Isolate%20Interco.)/2007%20Interco.%20CC%20Analysis%2011-07%20(11-14-07)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p.sharepoint.com/teams/SAPConcurAnnualSalesPlanning/Shared%20Documents/2024%20GTM/99.2024%20GTM%20-%20ARR%20Plan/Concur%202024%20Target%20Model%20-%20TGT-CC_LC_BUD-EUR.xlsx" TargetMode="External"/><Relationship Id="rId1" Type="http://schemas.openxmlformats.org/officeDocument/2006/relationships/externalLinkPath" Target="https://sap.sharepoint.com/teams/SAPConcurAnnualSalesPlanning/Shared%20Documents/2024%20GTM/99.2024%20GTM%20-%20ARR%20Plan/Concur%202024%20Target%20Model%20-%20TGT-CC_LC_BUD-E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12-06"/>
      <sheetName val="Summ. of 1324"/>
      <sheetName val="Co. Diff. 1324"/>
      <sheetName val="Co. the Same 186"/>
      <sheetName val="No EMR CC 67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ing Report"/>
      <sheetName val="Pivot_Ramp"/>
      <sheetName val="Pivot_Full Ind Quota"/>
      <sheetName val="Pivot_Prorate Ind Quota"/>
      <sheetName val="Pivot_Full Team Quota"/>
      <sheetName val="Pivot_Prorated Team Quota"/>
      <sheetName val="Pivot_Global Quota"/>
      <sheetName val="Pivot_P-Club Credit_Ind&amp;Team"/>
      <sheetName val="Pivot MonthlyCredit_Individual"/>
      <sheetName val="Pivot MonthlyCredit_Team"/>
      <sheetName val="Pivot_GlobalCredit"/>
      <sheetName val="Pivot_PromoCredit_Individual"/>
      <sheetName val="Pivot_PromoCredit_Team"/>
      <sheetName val="Analytic_Ranking"/>
      <sheetName val="Position_Owner Field"/>
      <sheetName val="Analytic_Monthly Ind&amp;TeamCredit"/>
      <sheetName val="Analytic_Monthly Global Credit"/>
      <sheetName val="Analytic_Monthly PromoCredit"/>
      <sheetName val="Incent People_Latest Version"/>
      <sheetName val="Incent Position_Latest Version"/>
      <sheetName val="Incent Quo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 EUR"/>
      <sheetName val="To EUR"/>
      <sheetName val="Pivot"/>
      <sheetName val="Data"/>
      <sheetName val="Sheet1"/>
    </sheetNames>
    <sheetDataSet>
      <sheetData sheetId="0"/>
      <sheetData sheetId="1"/>
      <sheetData sheetId="2">
        <row r="6">
          <cell r="A6" t="str">
            <v>AED</v>
          </cell>
          <cell r="B6">
            <v>1</v>
          </cell>
          <cell r="C6">
            <v>100</v>
          </cell>
          <cell r="D6">
            <v>4.0760300000000003</v>
          </cell>
          <cell r="E6">
            <v>1</v>
          </cell>
          <cell r="F6">
            <v>100</v>
          </cell>
          <cell r="G6">
            <v>4.0060500000000001</v>
          </cell>
          <cell r="H6">
            <v>1</v>
          </cell>
          <cell r="I6">
            <v>100</v>
          </cell>
          <cell r="J6">
            <v>4.0562899999999997</v>
          </cell>
          <cell r="K6">
            <v>1</v>
          </cell>
          <cell r="L6">
            <v>100</v>
          </cell>
          <cell r="M6">
            <v>3.9924599999999999</v>
          </cell>
          <cell r="N6">
            <v>1</v>
          </cell>
          <cell r="O6">
            <v>100</v>
          </cell>
          <cell r="P6">
            <v>4.0062100000000003</v>
          </cell>
          <cell r="Q6">
            <v>1</v>
          </cell>
          <cell r="R6">
            <v>100</v>
          </cell>
          <cell r="S6">
            <v>4.1359599999999999</v>
          </cell>
          <cell r="T6">
            <v>1</v>
          </cell>
          <cell r="U6">
            <v>100</v>
          </cell>
          <cell r="V6">
            <v>4.2153700000000001</v>
          </cell>
          <cell r="W6">
            <v>1</v>
          </cell>
          <cell r="X6">
            <v>100</v>
          </cell>
          <cell r="Y6">
            <v>4.3451899999999997</v>
          </cell>
          <cell r="Z6">
            <v>1</v>
          </cell>
          <cell r="AA6">
            <v>100</v>
          </cell>
          <cell r="AB6">
            <v>4.3288099999999998</v>
          </cell>
        </row>
        <row r="7">
          <cell r="A7" t="str">
            <v>ALL</v>
          </cell>
          <cell r="B7">
            <v>1</v>
          </cell>
          <cell r="C7">
            <v>100</v>
          </cell>
          <cell r="D7">
            <v>122.05134</v>
          </cell>
          <cell r="E7">
            <v>1</v>
          </cell>
          <cell r="F7">
            <v>100</v>
          </cell>
          <cell r="G7">
            <v>122.20166</v>
          </cell>
          <cell r="H7">
            <v>1</v>
          </cell>
          <cell r="I7">
            <v>100</v>
          </cell>
          <cell r="J7">
            <v>124.17917</v>
          </cell>
          <cell r="K7">
            <v>1</v>
          </cell>
          <cell r="L7">
            <v>100</v>
          </cell>
          <cell r="M7">
            <v>125.38775</v>
          </cell>
          <cell r="N7">
            <v>1</v>
          </cell>
          <cell r="O7">
            <v>100</v>
          </cell>
          <cell r="P7">
            <v>123.90763</v>
          </cell>
          <cell r="Q7">
            <v>1</v>
          </cell>
          <cell r="R7">
            <v>100</v>
          </cell>
          <cell r="S7">
            <v>124.24802</v>
          </cell>
          <cell r="T7">
            <v>1</v>
          </cell>
          <cell r="U7">
            <v>100</v>
          </cell>
          <cell r="V7">
            <v>124.1099</v>
          </cell>
          <cell r="W7">
            <v>1</v>
          </cell>
          <cell r="X7">
            <v>100</v>
          </cell>
          <cell r="Y7">
            <v>123.88297</v>
          </cell>
          <cell r="Z7">
            <v>1</v>
          </cell>
          <cell r="AA7">
            <v>100</v>
          </cell>
          <cell r="AB7">
            <v>124.04639</v>
          </cell>
        </row>
        <row r="8">
          <cell r="A8" t="str">
            <v>ANG</v>
          </cell>
          <cell r="B8">
            <v>1</v>
          </cell>
          <cell r="C8">
            <v>100</v>
          </cell>
          <cell r="D8">
            <v>1.9863500000000001</v>
          </cell>
          <cell r="E8">
            <v>1</v>
          </cell>
          <cell r="F8">
            <v>100</v>
          </cell>
          <cell r="G8">
            <v>1.95224</v>
          </cell>
          <cell r="H8">
            <v>1</v>
          </cell>
          <cell r="I8">
            <v>100</v>
          </cell>
          <cell r="J8">
            <v>1.97671</v>
          </cell>
          <cell r="K8">
            <v>1</v>
          </cell>
          <cell r="L8">
            <v>100</v>
          </cell>
          <cell r="M8">
            <v>1.9456199999999999</v>
          </cell>
          <cell r="N8">
            <v>1</v>
          </cell>
          <cell r="O8">
            <v>100</v>
          </cell>
          <cell r="P8">
            <v>1.9523200000000001</v>
          </cell>
          <cell r="Q8">
            <v>1</v>
          </cell>
          <cell r="R8">
            <v>100</v>
          </cell>
          <cell r="S8">
            <v>2.0155500000000002</v>
          </cell>
          <cell r="T8">
            <v>1</v>
          </cell>
          <cell r="U8">
            <v>100</v>
          </cell>
          <cell r="V8">
            <v>2.0542400000000001</v>
          </cell>
          <cell r="W8">
            <v>1</v>
          </cell>
          <cell r="X8">
            <v>100</v>
          </cell>
          <cell r="Y8">
            <v>2.1175000000000002</v>
          </cell>
          <cell r="Z8">
            <v>1</v>
          </cell>
          <cell r="AA8">
            <v>100</v>
          </cell>
          <cell r="AB8">
            <v>2.1095299999999999</v>
          </cell>
        </row>
        <row r="9">
          <cell r="A9" t="str">
            <v>AOA</v>
          </cell>
          <cell r="B9">
            <v>1</v>
          </cell>
          <cell r="C9">
            <v>1000</v>
          </cell>
          <cell r="D9">
            <v>543.09031000000004</v>
          </cell>
          <cell r="E9">
            <v>1</v>
          </cell>
          <cell r="F9">
            <v>1000</v>
          </cell>
          <cell r="G9">
            <v>539.28826000000004</v>
          </cell>
          <cell r="H9">
            <v>1</v>
          </cell>
          <cell r="I9">
            <v>1000</v>
          </cell>
          <cell r="J9">
            <v>562.09999000000005</v>
          </cell>
          <cell r="K9">
            <v>1</v>
          </cell>
          <cell r="L9">
            <v>1000</v>
          </cell>
          <cell r="M9">
            <v>604.47378000000003</v>
          </cell>
          <cell r="N9">
            <v>1</v>
          </cell>
          <cell r="O9">
            <v>1000</v>
          </cell>
          <cell r="P9">
            <v>616.34119999999996</v>
          </cell>
          <cell r="Q9">
            <v>1</v>
          </cell>
          <cell r="R9">
            <v>1000</v>
          </cell>
          <cell r="S9">
            <v>663.90926000000002</v>
          </cell>
          <cell r="T9">
            <v>1</v>
          </cell>
          <cell r="U9">
            <v>1000</v>
          </cell>
          <cell r="V9">
            <v>651.94475999999997</v>
          </cell>
          <cell r="W9">
            <v>1</v>
          </cell>
          <cell r="X9">
            <v>1000</v>
          </cell>
          <cell r="Y9">
            <v>694.22022000000004</v>
          </cell>
          <cell r="Z9">
            <v>1</v>
          </cell>
          <cell r="AA9">
            <v>1000</v>
          </cell>
          <cell r="AB9">
            <v>731.94484</v>
          </cell>
        </row>
        <row r="10">
          <cell r="A10" t="str">
            <v>ARS</v>
          </cell>
          <cell r="B10">
            <v>1</v>
          </cell>
          <cell r="C10">
            <v>100</v>
          </cell>
          <cell r="D10">
            <v>66.592590000000001</v>
          </cell>
          <cell r="E10">
            <v>1</v>
          </cell>
          <cell r="F10">
            <v>100</v>
          </cell>
          <cell r="G10">
            <v>66.946740000000005</v>
          </cell>
          <cell r="H10">
            <v>1</v>
          </cell>
          <cell r="I10">
            <v>100</v>
          </cell>
          <cell r="J10">
            <v>69.807829999999996</v>
          </cell>
          <cell r="K10">
            <v>1</v>
          </cell>
          <cell r="L10">
            <v>100</v>
          </cell>
          <cell r="M10">
            <v>71.435299999999998</v>
          </cell>
          <cell r="N10">
            <v>1</v>
          </cell>
          <cell r="O10">
            <v>100</v>
          </cell>
          <cell r="P10">
            <v>73.812759999999997</v>
          </cell>
          <cell r="Q10">
            <v>1</v>
          </cell>
          <cell r="R10">
            <v>100</v>
          </cell>
          <cell r="S10">
            <v>78.285799999999995</v>
          </cell>
          <cell r="T10">
            <v>1</v>
          </cell>
          <cell r="U10">
            <v>100</v>
          </cell>
          <cell r="V10">
            <v>81.973820000000003</v>
          </cell>
          <cell r="W10">
            <v>1</v>
          </cell>
          <cell r="X10">
            <v>100</v>
          </cell>
          <cell r="Y10">
            <v>86.686549999999997</v>
          </cell>
          <cell r="Z10">
            <v>1</v>
          </cell>
          <cell r="AA10">
            <v>100</v>
          </cell>
          <cell r="AB10">
            <v>88.617620000000002</v>
          </cell>
        </row>
        <row r="11">
          <cell r="A11" t="str">
            <v>AUD</v>
          </cell>
          <cell r="B11">
            <v>1</v>
          </cell>
          <cell r="C11">
            <v>100</v>
          </cell>
          <cell r="D11">
            <v>1.6188899999999999</v>
          </cell>
          <cell r="E11">
            <v>1</v>
          </cell>
          <cell r="F11">
            <v>100</v>
          </cell>
          <cell r="G11">
            <v>1.63558</v>
          </cell>
          <cell r="H11">
            <v>1</v>
          </cell>
          <cell r="I11">
            <v>100</v>
          </cell>
          <cell r="J11">
            <v>1.77884</v>
          </cell>
          <cell r="K11">
            <v>1</v>
          </cell>
          <cell r="L11">
            <v>100</v>
          </cell>
          <cell r="M11">
            <v>1.7271000000000001</v>
          </cell>
          <cell r="N11">
            <v>1</v>
          </cell>
          <cell r="O11">
            <v>100</v>
          </cell>
          <cell r="P11">
            <v>1.6723600000000001</v>
          </cell>
          <cell r="Q11">
            <v>1</v>
          </cell>
          <cell r="R11">
            <v>100</v>
          </cell>
          <cell r="S11">
            <v>1.6322300000000001</v>
          </cell>
          <cell r="T11">
            <v>1</v>
          </cell>
          <cell r="U11">
            <v>100</v>
          </cell>
          <cell r="V11">
            <v>1.6303700000000001</v>
          </cell>
          <cell r="W11">
            <v>1</v>
          </cell>
          <cell r="X11">
            <v>100</v>
          </cell>
          <cell r="Y11">
            <v>1.6432800000000001</v>
          </cell>
          <cell r="Z11">
            <v>1</v>
          </cell>
          <cell r="AA11">
            <v>100</v>
          </cell>
          <cell r="AB11">
            <v>1.6307400000000001</v>
          </cell>
        </row>
        <row r="12">
          <cell r="A12" t="str">
            <v>AZN</v>
          </cell>
          <cell r="B12">
            <v>1</v>
          </cell>
          <cell r="C12">
            <v>1</v>
          </cell>
          <cell r="D12">
            <v>1.88289</v>
          </cell>
          <cell r="E12">
            <v>1</v>
          </cell>
          <cell r="F12">
            <v>1</v>
          </cell>
          <cell r="G12">
            <v>1.85046</v>
          </cell>
          <cell r="H12">
            <v>1</v>
          </cell>
          <cell r="I12">
            <v>1</v>
          </cell>
          <cell r="J12">
            <v>1.87205</v>
          </cell>
          <cell r="K12">
            <v>1</v>
          </cell>
          <cell r="L12">
            <v>1</v>
          </cell>
          <cell r="M12">
            <v>1.84463</v>
          </cell>
          <cell r="N12">
            <v>1</v>
          </cell>
          <cell r="O12">
            <v>1</v>
          </cell>
          <cell r="P12">
            <v>1.8520099999999999</v>
          </cell>
          <cell r="Q12">
            <v>1</v>
          </cell>
          <cell r="R12">
            <v>1</v>
          </cell>
          <cell r="S12">
            <v>1.9114599999999999</v>
          </cell>
          <cell r="T12">
            <v>1</v>
          </cell>
          <cell r="U12">
            <v>1</v>
          </cell>
          <cell r="V12">
            <v>1.94981</v>
          </cell>
          <cell r="W12">
            <v>1</v>
          </cell>
          <cell r="X12">
            <v>1</v>
          </cell>
          <cell r="Y12">
            <v>2.0099200000000002</v>
          </cell>
          <cell r="Z12">
            <v>1</v>
          </cell>
          <cell r="AA12">
            <v>1</v>
          </cell>
          <cell r="AB12">
            <v>2.0022799999999998</v>
          </cell>
        </row>
        <row r="13">
          <cell r="A13" t="str">
            <v>BAM</v>
          </cell>
          <cell r="B13">
            <v>1</v>
          </cell>
          <cell r="C13">
            <v>1</v>
          </cell>
          <cell r="D13">
            <v>1.9558</v>
          </cell>
          <cell r="E13">
            <v>1</v>
          </cell>
          <cell r="F13">
            <v>1</v>
          </cell>
          <cell r="G13">
            <v>1.9558</v>
          </cell>
          <cell r="H13">
            <v>1</v>
          </cell>
          <cell r="I13">
            <v>1</v>
          </cell>
          <cell r="J13">
            <v>1.9558</v>
          </cell>
          <cell r="K13">
            <v>1</v>
          </cell>
          <cell r="L13">
            <v>1</v>
          </cell>
          <cell r="M13">
            <v>1.9558</v>
          </cell>
          <cell r="N13">
            <v>1</v>
          </cell>
          <cell r="O13">
            <v>1</v>
          </cell>
          <cell r="P13">
            <v>1.9558</v>
          </cell>
          <cell r="Q13">
            <v>1</v>
          </cell>
          <cell r="R13">
            <v>1</v>
          </cell>
          <cell r="S13">
            <v>1.9558</v>
          </cell>
          <cell r="T13">
            <v>1</v>
          </cell>
          <cell r="U13">
            <v>1</v>
          </cell>
          <cell r="V13">
            <v>1.9558</v>
          </cell>
          <cell r="W13">
            <v>1</v>
          </cell>
          <cell r="X13">
            <v>1</v>
          </cell>
          <cell r="Y13">
            <v>1.9558</v>
          </cell>
          <cell r="Z13">
            <v>1</v>
          </cell>
          <cell r="AA13">
            <v>1</v>
          </cell>
          <cell r="AB13">
            <v>1.9558</v>
          </cell>
        </row>
        <row r="14">
          <cell r="A14" t="str">
            <v>BBD</v>
          </cell>
          <cell r="B14">
            <v>1</v>
          </cell>
          <cell r="C14">
            <v>1</v>
          </cell>
          <cell r="D14">
            <v>2.2193700000000001</v>
          </cell>
          <cell r="E14">
            <v>1</v>
          </cell>
          <cell r="F14">
            <v>1</v>
          </cell>
          <cell r="G14">
            <v>2.18127</v>
          </cell>
          <cell r="H14">
            <v>1</v>
          </cell>
          <cell r="I14">
            <v>1</v>
          </cell>
          <cell r="J14">
            <v>2.2086199999999998</v>
          </cell>
          <cell r="K14">
            <v>1</v>
          </cell>
          <cell r="L14">
            <v>1</v>
          </cell>
          <cell r="M14">
            <v>2.17387</v>
          </cell>
          <cell r="N14">
            <v>1</v>
          </cell>
          <cell r="O14">
            <v>1</v>
          </cell>
          <cell r="P14">
            <v>2.1813600000000002</v>
          </cell>
          <cell r="Q14">
            <v>1</v>
          </cell>
          <cell r="R14">
            <v>1</v>
          </cell>
          <cell r="S14">
            <v>2.2519999999999998</v>
          </cell>
          <cell r="T14">
            <v>1</v>
          </cell>
          <cell r="U14">
            <v>1</v>
          </cell>
          <cell r="V14">
            <v>2.2952400000000002</v>
          </cell>
          <cell r="W14">
            <v>1</v>
          </cell>
          <cell r="X14">
            <v>1</v>
          </cell>
          <cell r="Y14">
            <v>2.36592</v>
          </cell>
          <cell r="Z14">
            <v>1</v>
          </cell>
          <cell r="AA14">
            <v>1</v>
          </cell>
          <cell r="AB14">
            <v>2.3570099999999998</v>
          </cell>
        </row>
        <row r="15">
          <cell r="A15" t="str">
            <v>BDT</v>
          </cell>
          <cell r="B15">
            <v>1</v>
          </cell>
          <cell r="C15">
            <v>10</v>
          </cell>
          <cell r="D15">
            <v>94.32705</v>
          </cell>
          <cell r="E15">
            <v>1</v>
          </cell>
          <cell r="F15">
            <v>10</v>
          </cell>
          <cell r="G15">
            <v>92.737499999999997</v>
          </cell>
          <cell r="H15">
            <v>1</v>
          </cell>
          <cell r="I15">
            <v>10</v>
          </cell>
          <cell r="J15">
            <v>93.857810000000001</v>
          </cell>
          <cell r="K15">
            <v>1</v>
          </cell>
          <cell r="L15">
            <v>10</v>
          </cell>
          <cell r="M15">
            <v>92.385949999999994</v>
          </cell>
          <cell r="N15">
            <v>1</v>
          </cell>
          <cell r="O15">
            <v>10</v>
          </cell>
          <cell r="P15">
            <v>92.744669999999999</v>
          </cell>
          <cell r="Q15">
            <v>1</v>
          </cell>
          <cell r="R15">
            <v>10</v>
          </cell>
          <cell r="S15">
            <v>95.718959999999996</v>
          </cell>
          <cell r="T15">
            <v>1</v>
          </cell>
          <cell r="U15">
            <v>10</v>
          </cell>
          <cell r="V15">
            <v>97.367090000000005</v>
          </cell>
          <cell r="W15">
            <v>1</v>
          </cell>
          <cell r="X15">
            <v>10</v>
          </cell>
          <cell r="Y15">
            <v>100.33065000000001</v>
          </cell>
          <cell r="Z15">
            <v>1</v>
          </cell>
          <cell r="AA15">
            <v>10</v>
          </cell>
          <cell r="AB15">
            <v>99.940759999999997</v>
          </cell>
        </row>
        <row r="16">
          <cell r="A16" t="str">
            <v>BHD</v>
          </cell>
          <cell r="B16">
            <v>1</v>
          </cell>
          <cell r="C16">
            <v>1</v>
          </cell>
          <cell r="D16">
            <v>0.41836000000000001</v>
          </cell>
          <cell r="E16">
            <v>1</v>
          </cell>
          <cell r="F16">
            <v>1</v>
          </cell>
          <cell r="G16">
            <v>0.41116999999999998</v>
          </cell>
          <cell r="H16">
            <v>1</v>
          </cell>
          <cell r="I16">
            <v>1</v>
          </cell>
          <cell r="J16">
            <v>0.41665999999999997</v>
          </cell>
          <cell r="K16">
            <v>1</v>
          </cell>
          <cell r="L16">
            <v>1</v>
          </cell>
          <cell r="M16">
            <v>0.40983999999999998</v>
          </cell>
          <cell r="N16">
            <v>1</v>
          </cell>
          <cell r="O16">
            <v>1</v>
          </cell>
          <cell r="P16">
            <v>0.41149000000000002</v>
          </cell>
          <cell r="Q16">
            <v>1</v>
          </cell>
          <cell r="R16">
            <v>1</v>
          </cell>
          <cell r="S16">
            <v>0.42459999999999998</v>
          </cell>
          <cell r="T16">
            <v>1</v>
          </cell>
          <cell r="U16">
            <v>1</v>
          </cell>
          <cell r="V16">
            <v>0.43270999999999998</v>
          </cell>
          <cell r="W16">
            <v>1</v>
          </cell>
          <cell r="X16">
            <v>1</v>
          </cell>
          <cell r="Y16">
            <v>0.44596999999999998</v>
          </cell>
          <cell r="Z16">
            <v>1</v>
          </cell>
          <cell r="AA16">
            <v>1</v>
          </cell>
          <cell r="AB16">
            <v>0.44436999999999999</v>
          </cell>
        </row>
        <row r="17">
          <cell r="A17" t="str">
            <v>BND</v>
          </cell>
          <cell r="B17">
            <v>1</v>
          </cell>
          <cell r="C17">
            <v>100</v>
          </cell>
          <cell r="D17">
            <v>1.4999</v>
          </cell>
          <cell r="E17">
            <v>1</v>
          </cell>
          <cell r="F17">
            <v>100</v>
          </cell>
          <cell r="G17">
            <v>1.5158799999999999</v>
          </cell>
          <cell r="H17">
            <v>1</v>
          </cell>
          <cell r="I17">
            <v>100</v>
          </cell>
          <cell r="J17">
            <v>1.5643899999999999</v>
          </cell>
          <cell r="K17">
            <v>1</v>
          </cell>
          <cell r="L17">
            <v>100</v>
          </cell>
          <cell r="M17">
            <v>1.5468900000000001</v>
          </cell>
          <cell r="N17">
            <v>1</v>
          </cell>
          <cell r="O17">
            <v>100</v>
          </cell>
          <cell r="P17">
            <v>1.5469599999999999</v>
          </cell>
          <cell r="Q17">
            <v>1</v>
          </cell>
          <cell r="R17">
            <v>100</v>
          </cell>
          <cell r="S17">
            <v>1.5689500000000001</v>
          </cell>
          <cell r="T17">
            <v>1</v>
          </cell>
          <cell r="U17">
            <v>100</v>
          </cell>
          <cell r="V17">
            <v>1.59152</v>
          </cell>
          <cell r="W17">
            <v>1</v>
          </cell>
          <cell r="X17">
            <v>100</v>
          </cell>
          <cell r="Y17">
            <v>1.61968</v>
          </cell>
          <cell r="Z17">
            <v>1</v>
          </cell>
          <cell r="AA17">
            <v>100</v>
          </cell>
          <cell r="AB17">
            <v>1.60995</v>
          </cell>
        </row>
        <row r="18">
          <cell r="A18" t="str">
            <v>BRL</v>
          </cell>
          <cell r="B18">
            <v>1</v>
          </cell>
          <cell r="C18">
            <v>100</v>
          </cell>
          <cell r="D18">
            <v>4.6019899999999998</v>
          </cell>
          <cell r="E18">
            <v>1</v>
          </cell>
          <cell r="F18">
            <v>100</v>
          </cell>
          <cell r="G18">
            <v>4.7326600000000001</v>
          </cell>
          <cell r="H18">
            <v>1</v>
          </cell>
          <cell r="I18">
            <v>100</v>
          </cell>
          <cell r="J18">
            <v>5.3986299999999998</v>
          </cell>
          <cell r="K18">
            <v>1</v>
          </cell>
          <cell r="L18">
            <v>100</v>
          </cell>
          <cell r="M18">
            <v>5.78071</v>
          </cell>
          <cell r="N18">
            <v>1</v>
          </cell>
          <cell r="O18">
            <v>100</v>
          </cell>
          <cell r="P18">
            <v>6.14994</v>
          </cell>
          <cell r="Q18">
            <v>1</v>
          </cell>
          <cell r="R18">
            <v>100</v>
          </cell>
          <cell r="S18">
            <v>5.8376999999999999</v>
          </cell>
          <cell r="T18">
            <v>1</v>
          </cell>
          <cell r="U18">
            <v>100</v>
          </cell>
          <cell r="V18">
            <v>6.0589700000000004</v>
          </cell>
          <cell r="W18">
            <v>1</v>
          </cell>
          <cell r="X18">
            <v>100</v>
          </cell>
          <cell r="Y18">
            <v>6.4381000000000004</v>
          </cell>
          <cell r="Z18">
            <v>1</v>
          </cell>
          <cell r="AA18">
            <v>100</v>
          </cell>
          <cell r="AB18">
            <v>6.3662999999999998</v>
          </cell>
        </row>
        <row r="19">
          <cell r="A19" t="str">
            <v>BWP</v>
          </cell>
          <cell r="B19">
            <v>1</v>
          </cell>
          <cell r="C19">
            <v>100</v>
          </cell>
          <cell r="D19">
            <v>11.926600000000001</v>
          </cell>
          <cell r="E19">
            <v>1</v>
          </cell>
          <cell r="F19">
            <v>100</v>
          </cell>
          <cell r="G19">
            <v>12.006489999999999</v>
          </cell>
          <cell r="H19">
            <v>1</v>
          </cell>
          <cell r="I19">
            <v>100</v>
          </cell>
          <cell r="J19">
            <v>12.733420000000001</v>
          </cell>
          <cell r="K19">
            <v>1</v>
          </cell>
          <cell r="L19">
            <v>100</v>
          </cell>
          <cell r="M19">
            <v>13.212490000000001</v>
          </cell>
          <cell r="N19">
            <v>1</v>
          </cell>
          <cell r="O19">
            <v>100</v>
          </cell>
          <cell r="P19">
            <v>13.153309999999999</v>
          </cell>
          <cell r="Q19">
            <v>1</v>
          </cell>
          <cell r="R19">
            <v>100</v>
          </cell>
          <cell r="S19">
            <v>13.175039999999999</v>
          </cell>
          <cell r="T19">
            <v>1</v>
          </cell>
          <cell r="U19">
            <v>100</v>
          </cell>
          <cell r="V19">
            <v>13.27098</v>
          </cell>
          <cell r="W19">
            <v>1</v>
          </cell>
          <cell r="X19">
            <v>100</v>
          </cell>
          <cell r="Y19">
            <v>13.777049999999999</v>
          </cell>
          <cell r="Z19">
            <v>1</v>
          </cell>
          <cell r="AA19">
            <v>100</v>
          </cell>
          <cell r="AB19">
            <v>13.583449999999999</v>
          </cell>
        </row>
        <row r="20">
          <cell r="A20" t="str">
            <v>BYN</v>
          </cell>
          <cell r="B20">
            <v>1</v>
          </cell>
          <cell r="C20">
            <v>1</v>
          </cell>
          <cell r="D20">
            <v>2.3528899999999999</v>
          </cell>
          <cell r="E20">
            <v>1</v>
          </cell>
          <cell r="F20">
            <v>1</v>
          </cell>
          <cell r="G20">
            <v>2.3982399999999999</v>
          </cell>
          <cell r="H20">
            <v>1</v>
          </cell>
          <cell r="I20">
            <v>1</v>
          </cell>
          <cell r="J20">
            <v>2.68024</v>
          </cell>
          <cell r="K20">
            <v>1</v>
          </cell>
          <cell r="L20">
            <v>1</v>
          </cell>
          <cell r="M20">
            <v>2.7086000000000001</v>
          </cell>
          <cell r="N20">
            <v>1</v>
          </cell>
          <cell r="O20">
            <v>1</v>
          </cell>
          <cell r="P20">
            <v>2.6468799999999999</v>
          </cell>
          <cell r="Q20">
            <v>1</v>
          </cell>
          <cell r="R20">
            <v>1</v>
          </cell>
          <cell r="S20">
            <v>2.6859199999999999</v>
          </cell>
          <cell r="T20">
            <v>1</v>
          </cell>
          <cell r="U20">
            <v>1</v>
          </cell>
          <cell r="V20">
            <v>2.77136</v>
          </cell>
          <cell r="W20">
            <v>1</v>
          </cell>
          <cell r="X20">
            <v>1</v>
          </cell>
          <cell r="Y20">
            <v>2.9750299999999998</v>
          </cell>
          <cell r="Z20">
            <v>1</v>
          </cell>
          <cell r="AA20">
            <v>1</v>
          </cell>
          <cell r="AB20">
            <v>3.08053</v>
          </cell>
        </row>
        <row r="21">
          <cell r="A21" t="str">
            <v>BYR</v>
          </cell>
          <cell r="B21">
            <v>1</v>
          </cell>
          <cell r="C21">
            <v>1000</v>
          </cell>
          <cell r="D21">
            <v>23.5289</v>
          </cell>
          <cell r="E21">
            <v>1</v>
          </cell>
          <cell r="F21">
            <v>1000</v>
          </cell>
          <cell r="G21">
            <v>23.982399999999998</v>
          </cell>
          <cell r="H21">
            <v>1</v>
          </cell>
          <cell r="I21">
            <v>1000</v>
          </cell>
          <cell r="J21">
            <v>26.802399999999999</v>
          </cell>
          <cell r="K21">
            <v>1</v>
          </cell>
          <cell r="L21">
            <v>1000</v>
          </cell>
          <cell r="M21">
            <v>27.085999999999999</v>
          </cell>
          <cell r="N21">
            <v>1</v>
          </cell>
          <cell r="O21">
            <v>1000</v>
          </cell>
          <cell r="P21">
            <v>26.468800000000002</v>
          </cell>
          <cell r="Q21">
            <v>1</v>
          </cell>
          <cell r="R21">
            <v>1000</v>
          </cell>
          <cell r="S21">
            <v>26.859200000000001</v>
          </cell>
          <cell r="T21">
            <v>1</v>
          </cell>
          <cell r="U21">
            <v>1000</v>
          </cell>
          <cell r="V21">
            <v>27.7136</v>
          </cell>
          <cell r="W21">
            <v>1</v>
          </cell>
          <cell r="X21">
            <v>1000</v>
          </cell>
          <cell r="Y21">
            <v>29.750299999999999</v>
          </cell>
          <cell r="Z21">
            <v>1</v>
          </cell>
          <cell r="AA21">
            <v>1000</v>
          </cell>
          <cell r="AB21">
            <v>30.805299999999999</v>
          </cell>
        </row>
        <row r="22">
          <cell r="A22" t="str">
            <v>CAD</v>
          </cell>
          <cell r="B22">
            <v>1</v>
          </cell>
          <cell r="C22">
            <v>100</v>
          </cell>
          <cell r="D22">
            <v>1.4523200000000001</v>
          </cell>
          <cell r="E22">
            <v>1</v>
          </cell>
          <cell r="F22">
            <v>100</v>
          </cell>
          <cell r="G22">
            <v>1.4485399999999999</v>
          </cell>
          <cell r="H22">
            <v>1</v>
          </cell>
          <cell r="I22">
            <v>100</v>
          </cell>
          <cell r="J22">
            <v>1.5416799999999999</v>
          </cell>
          <cell r="K22">
            <v>1</v>
          </cell>
          <cell r="L22">
            <v>100</v>
          </cell>
          <cell r="M22">
            <v>1.5287299999999999</v>
          </cell>
          <cell r="N22">
            <v>1</v>
          </cell>
          <cell r="O22">
            <v>100</v>
          </cell>
          <cell r="P22">
            <v>1.5218799999999999</v>
          </cell>
          <cell r="Q22">
            <v>1</v>
          </cell>
          <cell r="R22">
            <v>100</v>
          </cell>
          <cell r="S22">
            <v>1.52542</v>
          </cell>
          <cell r="T22">
            <v>1</v>
          </cell>
          <cell r="U22">
            <v>100</v>
          </cell>
          <cell r="V22">
            <v>1.5481100000000001</v>
          </cell>
          <cell r="W22">
            <v>1</v>
          </cell>
          <cell r="X22">
            <v>100</v>
          </cell>
          <cell r="Y22">
            <v>1.56535</v>
          </cell>
          <cell r="Z22">
            <v>1</v>
          </cell>
          <cell r="AA22">
            <v>100</v>
          </cell>
          <cell r="AB22">
            <v>1.5585599999999999</v>
          </cell>
        </row>
        <row r="23">
          <cell r="A23" t="str">
            <v>CDF</v>
          </cell>
          <cell r="B23">
            <v>1</v>
          </cell>
          <cell r="C23">
            <v>1000</v>
          </cell>
          <cell r="D23">
            <v>1873.99983</v>
          </cell>
          <cell r="E23">
            <v>1</v>
          </cell>
          <cell r="F23">
            <v>1000</v>
          </cell>
          <cell r="G23">
            <v>1846.0279800000001</v>
          </cell>
          <cell r="H23">
            <v>1</v>
          </cell>
          <cell r="I23">
            <v>1000</v>
          </cell>
          <cell r="J23">
            <v>1880.8594700000001</v>
          </cell>
          <cell r="K23">
            <v>1</v>
          </cell>
          <cell r="L23">
            <v>1000</v>
          </cell>
          <cell r="M23">
            <v>1864.2399499999999</v>
          </cell>
          <cell r="N23">
            <v>1</v>
          </cell>
          <cell r="O23">
            <v>1000</v>
          </cell>
          <cell r="P23">
            <v>1929.24386</v>
          </cell>
          <cell r="Q23">
            <v>1</v>
          </cell>
          <cell r="R23">
            <v>1000</v>
          </cell>
          <cell r="S23">
            <v>2111.4337</v>
          </cell>
          <cell r="T23">
            <v>1</v>
          </cell>
          <cell r="U23">
            <v>1000</v>
          </cell>
          <cell r="V23">
            <v>2226.05267</v>
          </cell>
          <cell r="W23">
            <v>1</v>
          </cell>
          <cell r="X23">
            <v>1000</v>
          </cell>
          <cell r="Y23">
            <v>2314.3410800000001</v>
          </cell>
          <cell r="Z23">
            <v>1</v>
          </cell>
          <cell r="AA23">
            <v>1000</v>
          </cell>
          <cell r="AB23">
            <v>2306.4306299999998</v>
          </cell>
        </row>
        <row r="24">
          <cell r="A24" t="str">
            <v>CHF</v>
          </cell>
          <cell r="B24">
            <v>1</v>
          </cell>
          <cell r="C24">
            <v>100</v>
          </cell>
          <cell r="D24">
            <v>1.0764499999999999</v>
          </cell>
          <cell r="E24">
            <v>1</v>
          </cell>
          <cell r="F24">
            <v>100</v>
          </cell>
          <cell r="G24">
            <v>1.0647800000000001</v>
          </cell>
          <cell r="H24">
            <v>1</v>
          </cell>
          <cell r="I24">
            <v>100</v>
          </cell>
          <cell r="J24">
            <v>1.05911</v>
          </cell>
          <cell r="K24">
            <v>1</v>
          </cell>
          <cell r="L24">
            <v>100</v>
          </cell>
          <cell r="M24">
            <v>1.05446</v>
          </cell>
          <cell r="N24">
            <v>1</v>
          </cell>
          <cell r="O24">
            <v>100</v>
          </cell>
          <cell r="P24">
            <v>1.0574300000000001</v>
          </cell>
          <cell r="Q24">
            <v>1</v>
          </cell>
          <cell r="R24">
            <v>100</v>
          </cell>
          <cell r="S24">
            <v>1.07124</v>
          </cell>
          <cell r="T24">
            <v>1</v>
          </cell>
          <cell r="U24">
            <v>100</v>
          </cell>
          <cell r="V24">
            <v>1.07111</v>
          </cell>
          <cell r="W24">
            <v>1</v>
          </cell>
          <cell r="X24">
            <v>100</v>
          </cell>
          <cell r="Y24">
            <v>1.07674</v>
          </cell>
          <cell r="Z24">
            <v>1</v>
          </cell>
          <cell r="AA24">
            <v>100</v>
          </cell>
          <cell r="AB24">
            <v>1.07857</v>
          </cell>
        </row>
        <row r="25">
          <cell r="A25" t="str">
            <v>CLP</v>
          </cell>
          <cell r="B25">
            <v>1</v>
          </cell>
          <cell r="C25">
            <v>1000</v>
          </cell>
          <cell r="D25">
            <v>860.16824999999994</v>
          </cell>
          <cell r="E25">
            <v>1</v>
          </cell>
          <cell r="F25">
            <v>1000</v>
          </cell>
          <cell r="G25">
            <v>869.98419999999999</v>
          </cell>
          <cell r="H25">
            <v>1</v>
          </cell>
          <cell r="I25">
            <v>1000</v>
          </cell>
          <cell r="J25">
            <v>927.78904</v>
          </cell>
          <cell r="K25">
            <v>1</v>
          </cell>
          <cell r="L25">
            <v>1000</v>
          </cell>
          <cell r="M25">
            <v>926.79981999999995</v>
          </cell>
          <cell r="N25">
            <v>1</v>
          </cell>
          <cell r="O25">
            <v>1000</v>
          </cell>
          <cell r="P25">
            <v>894.32141000000001</v>
          </cell>
          <cell r="Q25">
            <v>1</v>
          </cell>
          <cell r="R25">
            <v>1000</v>
          </cell>
          <cell r="S25">
            <v>896.11279000000002</v>
          </cell>
          <cell r="T25">
            <v>1</v>
          </cell>
          <cell r="U25">
            <v>1000</v>
          </cell>
          <cell r="V25">
            <v>896.00140999999996</v>
          </cell>
          <cell r="W25">
            <v>1</v>
          </cell>
          <cell r="X25">
            <v>1000</v>
          </cell>
          <cell r="Y25">
            <v>929.25376000000006</v>
          </cell>
          <cell r="Z25">
            <v>1</v>
          </cell>
          <cell r="AA25">
            <v>1000</v>
          </cell>
          <cell r="AB25">
            <v>911.22491000000002</v>
          </cell>
        </row>
        <row r="26">
          <cell r="A26" t="str">
            <v>CNY</v>
          </cell>
          <cell r="B26">
            <v>1</v>
          </cell>
          <cell r="C26">
            <v>100</v>
          </cell>
          <cell r="D26">
            <v>7.6832399999999996</v>
          </cell>
          <cell r="E26">
            <v>1</v>
          </cell>
          <cell r="F26">
            <v>100</v>
          </cell>
          <cell r="G26">
            <v>7.6301899999999998</v>
          </cell>
          <cell r="H26">
            <v>1</v>
          </cell>
          <cell r="I26">
            <v>100</v>
          </cell>
          <cell r="J26">
            <v>7.7675299999999998</v>
          </cell>
          <cell r="K26">
            <v>1</v>
          </cell>
          <cell r="L26">
            <v>100</v>
          </cell>
          <cell r="M26">
            <v>7.6857499999999996</v>
          </cell>
          <cell r="N26">
            <v>1</v>
          </cell>
          <cell r="O26">
            <v>100</v>
          </cell>
          <cell r="P26">
            <v>7.7482100000000003</v>
          </cell>
          <cell r="Q26">
            <v>1</v>
          </cell>
          <cell r="R26">
            <v>100</v>
          </cell>
          <cell r="S26">
            <v>7.9733999999999998</v>
          </cell>
          <cell r="T26">
            <v>1</v>
          </cell>
          <cell r="U26">
            <v>100</v>
          </cell>
          <cell r="V26">
            <v>8.0351599999999994</v>
          </cell>
          <cell r="W26">
            <v>1</v>
          </cell>
          <cell r="X26">
            <v>100</v>
          </cell>
          <cell r="Y26">
            <v>8.1953499999999995</v>
          </cell>
          <cell r="Z26">
            <v>1</v>
          </cell>
          <cell r="AA26">
            <v>100</v>
          </cell>
          <cell r="AB26">
            <v>8.0333100000000002</v>
          </cell>
        </row>
        <row r="27">
          <cell r="A27" t="str">
            <v>COP</v>
          </cell>
          <cell r="B27">
            <v>1</v>
          </cell>
          <cell r="C27">
            <v>10000</v>
          </cell>
          <cell r="D27">
            <v>36.878210000000003</v>
          </cell>
          <cell r="E27">
            <v>1</v>
          </cell>
          <cell r="F27">
            <v>10000</v>
          </cell>
          <cell r="G27">
            <v>37.248750000000001</v>
          </cell>
          <cell r="H27">
            <v>1</v>
          </cell>
          <cell r="I27">
            <v>10000</v>
          </cell>
          <cell r="J27">
            <v>43.125729999999997</v>
          </cell>
          <cell r="K27">
            <v>1</v>
          </cell>
          <cell r="L27">
            <v>10000</v>
          </cell>
          <cell r="M27">
            <v>43.22739</v>
          </cell>
          <cell r="N27">
            <v>1</v>
          </cell>
          <cell r="O27">
            <v>10000</v>
          </cell>
          <cell r="P27">
            <v>42.023829999999997</v>
          </cell>
          <cell r="Q27">
            <v>1</v>
          </cell>
          <cell r="R27">
            <v>10000</v>
          </cell>
          <cell r="S27">
            <v>41.676369999999999</v>
          </cell>
          <cell r="T27">
            <v>1</v>
          </cell>
          <cell r="U27">
            <v>10000</v>
          </cell>
          <cell r="V27">
            <v>41.999960000000002</v>
          </cell>
          <cell r="W27">
            <v>1</v>
          </cell>
          <cell r="X27">
            <v>10000</v>
          </cell>
          <cell r="Y27">
            <v>44.821869999999997</v>
          </cell>
          <cell r="Z27">
            <v>1</v>
          </cell>
          <cell r="AA27">
            <v>10000</v>
          </cell>
          <cell r="AB27">
            <v>44.267440000000001</v>
          </cell>
        </row>
        <row r="28">
          <cell r="A28" t="str">
            <v>CRC</v>
          </cell>
          <cell r="B28">
            <v>1</v>
          </cell>
          <cell r="C28">
            <v>1000</v>
          </cell>
          <cell r="D28">
            <v>632.30029999999999</v>
          </cell>
          <cell r="E28">
            <v>1</v>
          </cell>
          <cell r="F28">
            <v>1000</v>
          </cell>
          <cell r="G28">
            <v>623.14637000000005</v>
          </cell>
          <cell r="H28">
            <v>1</v>
          </cell>
          <cell r="I28">
            <v>1000</v>
          </cell>
          <cell r="J28">
            <v>630.81415000000004</v>
          </cell>
          <cell r="K28">
            <v>1</v>
          </cell>
          <cell r="L28">
            <v>1000</v>
          </cell>
          <cell r="M28">
            <v>618.67308000000003</v>
          </cell>
          <cell r="N28">
            <v>1</v>
          </cell>
          <cell r="O28">
            <v>1000</v>
          </cell>
          <cell r="P28">
            <v>621.51592000000005</v>
          </cell>
          <cell r="Q28">
            <v>1</v>
          </cell>
          <cell r="R28">
            <v>1000</v>
          </cell>
          <cell r="S28">
            <v>650.28303000000005</v>
          </cell>
          <cell r="T28">
            <v>1</v>
          </cell>
          <cell r="U28">
            <v>1000</v>
          </cell>
          <cell r="V28">
            <v>668.03020000000004</v>
          </cell>
          <cell r="W28">
            <v>1</v>
          </cell>
          <cell r="X28">
            <v>1000</v>
          </cell>
          <cell r="Y28">
            <v>701.84261000000004</v>
          </cell>
          <cell r="Z28">
            <v>1</v>
          </cell>
          <cell r="AA28">
            <v>1000</v>
          </cell>
          <cell r="AB28">
            <v>704.70042000000001</v>
          </cell>
        </row>
        <row r="29">
          <cell r="A29" t="str">
            <v>CSD</v>
          </cell>
          <cell r="B29">
            <v>1</v>
          </cell>
          <cell r="C29">
            <v>1</v>
          </cell>
          <cell r="D29">
            <v>117.57496999999999</v>
          </cell>
          <cell r="E29">
            <v>1</v>
          </cell>
          <cell r="F29">
            <v>1</v>
          </cell>
          <cell r="G29">
            <v>117.56288000000001</v>
          </cell>
          <cell r="H29">
            <v>1</v>
          </cell>
          <cell r="I29">
            <v>1</v>
          </cell>
          <cell r="J29">
            <v>117.56186</v>
          </cell>
          <cell r="K29">
            <v>1</v>
          </cell>
          <cell r="L29">
            <v>1</v>
          </cell>
          <cell r="M29">
            <v>117.59474</v>
          </cell>
          <cell r="N29">
            <v>1</v>
          </cell>
          <cell r="O29">
            <v>1</v>
          </cell>
          <cell r="P29">
            <v>117.57753</v>
          </cell>
          <cell r="Q29">
            <v>1</v>
          </cell>
          <cell r="R29">
            <v>1</v>
          </cell>
          <cell r="S29">
            <v>117.58723999999999</v>
          </cell>
          <cell r="T29">
            <v>1</v>
          </cell>
          <cell r="U29">
            <v>1</v>
          </cell>
          <cell r="V29">
            <v>117.60444</v>
          </cell>
          <cell r="W29">
            <v>1</v>
          </cell>
          <cell r="X29">
            <v>1</v>
          </cell>
          <cell r="Y29">
            <v>117.59650000000001</v>
          </cell>
          <cell r="Z29">
            <v>1</v>
          </cell>
          <cell r="AA29">
            <v>1</v>
          </cell>
          <cell r="AB29">
            <v>117.58157</v>
          </cell>
        </row>
        <row r="30">
          <cell r="A30" t="str">
            <v>CZK</v>
          </cell>
          <cell r="B30">
            <v>1</v>
          </cell>
          <cell r="C30">
            <v>100</v>
          </cell>
          <cell r="D30">
            <v>25.215589999999999</v>
          </cell>
          <cell r="E30">
            <v>1</v>
          </cell>
          <cell r="F30">
            <v>100</v>
          </cell>
          <cell r="G30">
            <v>25.0505</v>
          </cell>
          <cell r="H30">
            <v>1</v>
          </cell>
          <cell r="I30">
            <v>100</v>
          </cell>
          <cell r="J30">
            <v>26.574950000000001</v>
          </cell>
          <cell r="K30">
            <v>1</v>
          </cell>
          <cell r="L30">
            <v>100</v>
          </cell>
          <cell r="M30">
            <v>27.262250000000002</v>
          </cell>
          <cell r="N30">
            <v>1</v>
          </cell>
          <cell r="O30">
            <v>100</v>
          </cell>
          <cell r="P30">
            <v>27.268650000000001</v>
          </cell>
          <cell r="Q30">
            <v>1</v>
          </cell>
          <cell r="R30">
            <v>100</v>
          </cell>
          <cell r="S30">
            <v>26.680859999999999</v>
          </cell>
          <cell r="T30">
            <v>1</v>
          </cell>
          <cell r="U30">
            <v>100</v>
          </cell>
          <cell r="V30">
            <v>26.513999999999999</v>
          </cell>
          <cell r="W30">
            <v>1</v>
          </cell>
          <cell r="X30">
            <v>100</v>
          </cell>
          <cell r="Y30">
            <v>26.16714</v>
          </cell>
          <cell r="Z30">
            <v>1</v>
          </cell>
          <cell r="AA30">
            <v>100</v>
          </cell>
          <cell r="AB30">
            <v>26.740950000000002</v>
          </cell>
        </row>
        <row r="31">
          <cell r="A31" t="str">
            <v>DKK</v>
          </cell>
          <cell r="B31">
            <v>1</v>
          </cell>
          <cell r="C31">
            <v>100</v>
          </cell>
          <cell r="D31">
            <v>7.4729099999999997</v>
          </cell>
          <cell r="E31">
            <v>1</v>
          </cell>
          <cell r="F31">
            <v>100</v>
          </cell>
          <cell r="G31">
            <v>7.4713399999999996</v>
          </cell>
          <cell r="H31">
            <v>1</v>
          </cell>
          <cell r="I31">
            <v>100</v>
          </cell>
          <cell r="J31">
            <v>7.4703200000000001</v>
          </cell>
          <cell r="K31">
            <v>1</v>
          </cell>
          <cell r="L31">
            <v>100</v>
          </cell>
          <cell r="M31">
            <v>7.4616600000000002</v>
          </cell>
          <cell r="N31">
            <v>1</v>
          </cell>
          <cell r="O31">
            <v>100</v>
          </cell>
          <cell r="P31">
            <v>7.4577200000000001</v>
          </cell>
          <cell r="Q31">
            <v>1</v>
          </cell>
          <cell r="R31">
            <v>100</v>
          </cell>
          <cell r="S31">
            <v>7.4547600000000003</v>
          </cell>
          <cell r="T31">
            <v>1</v>
          </cell>
          <cell r="U31">
            <v>100</v>
          </cell>
          <cell r="V31">
            <v>7.44665</v>
          </cell>
          <cell r="W31">
            <v>1</v>
          </cell>
          <cell r="X31">
            <v>100</v>
          </cell>
          <cell r="Y31">
            <v>7.44604</v>
          </cell>
          <cell r="Z31">
            <v>1</v>
          </cell>
          <cell r="AA31">
            <v>100</v>
          </cell>
          <cell r="AB31">
            <v>7.4417799999999996</v>
          </cell>
        </row>
        <row r="32">
          <cell r="A32" t="str">
            <v>DOP</v>
          </cell>
          <cell r="B32">
            <v>1</v>
          </cell>
          <cell r="C32">
            <v>100</v>
          </cell>
          <cell r="D32">
            <v>59.136800000000001</v>
          </cell>
          <cell r="E32">
            <v>1</v>
          </cell>
          <cell r="F32">
            <v>100</v>
          </cell>
          <cell r="G32">
            <v>58.324379999999998</v>
          </cell>
          <cell r="H32">
            <v>1</v>
          </cell>
          <cell r="I32">
            <v>100</v>
          </cell>
          <cell r="J32">
            <v>59.531689999999998</v>
          </cell>
          <cell r="K32">
            <v>1</v>
          </cell>
          <cell r="L32">
            <v>100</v>
          </cell>
          <cell r="M32">
            <v>59.010750000000002</v>
          </cell>
          <cell r="N32">
            <v>1</v>
          </cell>
          <cell r="O32">
            <v>100</v>
          </cell>
          <cell r="P32">
            <v>60.842179999999999</v>
          </cell>
          <cell r="Q32">
            <v>1</v>
          </cell>
          <cell r="R32">
            <v>100</v>
          </cell>
          <cell r="S32">
            <v>65.321610000000007</v>
          </cell>
          <cell r="T32">
            <v>1</v>
          </cell>
          <cell r="U32">
            <v>100</v>
          </cell>
          <cell r="V32">
            <v>67.123670000000004</v>
          </cell>
          <cell r="W32">
            <v>1</v>
          </cell>
          <cell r="X32">
            <v>100</v>
          </cell>
          <cell r="Y32">
            <v>69.186580000000006</v>
          </cell>
          <cell r="Z32">
            <v>1</v>
          </cell>
          <cell r="AA32">
            <v>100</v>
          </cell>
          <cell r="AB32">
            <v>68.887180000000001</v>
          </cell>
        </row>
        <row r="33">
          <cell r="A33" t="str">
            <v>DZD</v>
          </cell>
          <cell r="B33">
            <v>1</v>
          </cell>
          <cell r="C33">
            <v>100</v>
          </cell>
          <cell r="D33">
            <v>132.76925</v>
          </cell>
          <cell r="E33">
            <v>1</v>
          </cell>
          <cell r="F33">
            <v>100</v>
          </cell>
          <cell r="G33">
            <v>131.38718</v>
          </cell>
          <cell r="H33">
            <v>1</v>
          </cell>
          <cell r="I33">
            <v>100</v>
          </cell>
          <cell r="J33">
            <v>134.13212999999999</v>
          </cell>
          <cell r="K33">
            <v>1</v>
          </cell>
          <cell r="L33">
            <v>100</v>
          </cell>
          <cell r="M33">
            <v>138.58185</v>
          </cell>
          <cell r="N33">
            <v>1</v>
          </cell>
          <cell r="O33">
            <v>100</v>
          </cell>
          <cell r="P33">
            <v>140.32222999999999</v>
          </cell>
          <cell r="Q33">
            <v>1</v>
          </cell>
          <cell r="R33">
            <v>100</v>
          </cell>
          <cell r="S33">
            <v>144.95318</v>
          </cell>
          <cell r="T33">
            <v>1</v>
          </cell>
          <cell r="U33">
            <v>100</v>
          </cell>
          <cell r="V33">
            <v>147.23767000000001</v>
          </cell>
          <cell r="W33">
            <v>1</v>
          </cell>
          <cell r="X33">
            <v>100</v>
          </cell>
          <cell r="Y33">
            <v>151.83025000000001</v>
          </cell>
          <cell r="Z33">
            <v>1</v>
          </cell>
          <cell r="AA33">
            <v>100</v>
          </cell>
          <cell r="AB33">
            <v>151.78492</v>
          </cell>
        </row>
        <row r="34">
          <cell r="A34" t="str">
            <v>ECS</v>
          </cell>
          <cell r="B34">
            <v>1</v>
          </cell>
          <cell r="C34">
            <v>10000</v>
          </cell>
          <cell r="D34">
            <v>277.42158999999998</v>
          </cell>
          <cell r="E34">
            <v>1</v>
          </cell>
          <cell r="F34">
            <v>10000</v>
          </cell>
          <cell r="G34">
            <v>272.65875</v>
          </cell>
          <cell r="H34">
            <v>1</v>
          </cell>
          <cell r="I34">
            <v>10000</v>
          </cell>
          <cell r="J34">
            <v>276.07727</v>
          </cell>
          <cell r="K34">
            <v>1</v>
          </cell>
          <cell r="L34">
            <v>10000</v>
          </cell>
          <cell r="M34">
            <v>271.73392999999999</v>
          </cell>
          <cell r="N34">
            <v>1</v>
          </cell>
          <cell r="O34">
            <v>10000</v>
          </cell>
          <cell r="P34">
            <v>272.67023999999998</v>
          </cell>
          <cell r="Q34">
            <v>1</v>
          </cell>
          <cell r="R34">
            <v>10000</v>
          </cell>
          <cell r="S34">
            <v>281.50056999999998</v>
          </cell>
          <cell r="T34">
            <v>1</v>
          </cell>
          <cell r="U34">
            <v>10000</v>
          </cell>
          <cell r="V34">
            <v>286.90543000000002</v>
          </cell>
          <cell r="W34">
            <v>1</v>
          </cell>
          <cell r="X34">
            <v>10000</v>
          </cell>
          <cell r="Y34">
            <v>295.74047999999999</v>
          </cell>
          <cell r="Z34">
            <v>1</v>
          </cell>
          <cell r="AA34">
            <v>10000</v>
          </cell>
          <cell r="AB34">
            <v>294.62614000000002</v>
          </cell>
        </row>
        <row r="35">
          <cell r="A35" t="str">
            <v>EGP</v>
          </cell>
          <cell r="B35">
            <v>1</v>
          </cell>
          <cell r="C35">
            <v>100</v>
          </cell>
          <cell r="D35">
            <v>17.62405</v>
          </cell>
          <cell r="E35">
            <v>1</v>
          </cell>
          <cell r="F35">
            <v>100</v>
          </cell>
          <cell r="G35">
            <v>17.093820000000001</v>
          </cell>
          <cell r="H35">
            <v>1</v>
          </cell>
          <cell r="I35">
            <v>100</v>
          </cell>
          <cell r="J35">
            <v>17.35745</v>
          </cell>
          <cell r="K35">
            <v>1</v>
          </cell>
          <cell r="L35">
            <v>100</v>
          </cell>
          <cell r="M35">
            <v>17.124659999999999</v>
          </cell>
          <cell r="N35">
            <v>1</v>
          </cell>
          <cell r="O35">
            <v>100</v>
          </cell>
          <cell r="P35">
            <v>17.228280000000002</v>
          </cell>
          <cell r="Q35">
            <v>1</v>
          </cell>
          <cell r="R35">
            <v>100</v>
          </cell>
          <cell r="S35">
            <v>18.19342</v>
          </cell>
          <cell r="T35">
            <v>1</v>
          </cell>
          <cell r="U35">
            <v>100</v>
          </cell>
          <cell r="V35">
            <v>18.361630000000002</v>
          </cell>
          <cell r="W35">
            <v>1</v>
          </cell>
          <cell r="X35">
            <v>100</v>
          </cell>
          <cell r="Y35">
            <v>18.847850000000001</v>
          </cell>
          <cell r="Z35">
            <v>1</v>
          </cell>
          <cell r="AA35">
            <v>100</v>
          </cell>
          <cell r="AB35">
            <v>18.588799999999999</v>
          </cell>
        </row>
        <row r="36">
          <cell r="A36" t="str">
            <v>ETB</v>
          </cell>
          <cell r="B36">
            <v>1</v>
          </cell>
          <cell r="C36">
            <v>10</v>
          </cell>
          <cell r="D36">
            <v>3.55389</v>
          </cell>
          <cell r="E36">
            <v>1</v>
          </cell>
          <cell r="F36">
            <v>10</v>
          </cell>
          <cell r="G36">
            <v>3.4933100000000001</v>
          </cell>
          <cell r="H36">
            <v>1</v>
          </cell>
          <cell r="I36">
            <v>10</v>
          </cell>
          <cell r="J36">
            <v>3.5371100000000002</v>
          </cell>
          <cell r="K36">
            <v>1</v>
          </cell>
          <cell r="L36">
            <v>10</v>
          </cell>
          <cell r="M36">
            <v>3.5917699999999999</v>
          </cell>
          <cell r="N36">
            <v>1</v>
          </cell>
          <cell r="O36">
            <v>10</v>
          </cell>
          <cell r="P36">
            <v>3.70886</v>
          </cell>
          <cell r="Q36">
            <v>1</v>
          </cell>
          <cell r="R36">
            <v>10</v>
          </cell>
          <cell r="S36">
            <v>3.8919800000000002</v>
          </cell>
          <cell r="T36">
            <v>1</v>
          </cell>
          <cell r="U36">
            <v>10</v>
          </cell>
          <cell r="V36">
            <v>4.0477699999999999</v>
          </cell>
          <cell r="W36">
            <v>1</v>
          </cell>
          <cell r="X36">
            <v>10</v>
          </cell>
          <cell r="Y36">
            <v>4.2404700000000002</v>
          </cell>
          <cell r="Z36">
            <v>1</v>
          </cell>
          <cell r="AA36">
            <v>10</v>
          </cell>
          <cell r="AB36">
            <v>4.32416</v>
          </cell>
        </row>
        <row r="37">
          <cell r="A37" t="str">
            <v>GBP</v>
          </cell>
          <cell r="B37">
            <v>1</v>
          </cell>
          <cell r="C37">
            <v>1</v>
          </cell>
          <cell r="D37">
            <v>84.927000000000007</v>
          </cell>
          <cell r="E37">
            <v>1</v>
          </cell>
          <cell r="F37">
            <v>1</v>
          </cell>
          <cell r="G37">
            <v>84.094999999999999</v>
          </cell>
          <cell r="H37">
            <v>1</v>
          </cell>
          <cell r="I37">
            <v>1</v>
          </cell>
          <cell r="J37">
            <v>89.46</v>
          </cell>
          <cell r="K37">
            <v>1</v>
          </cell>
          <cell r="L37">
            <v>1</v>
          </cell>
          <cell r="M37">
            <v>87.546999999999997</v>
          </cell>
          <cell r="N37">
            <v>1</v>
          </cell>
          <cell r="O37">
            <v>1</v>
          </cell>
          <cell r="P37">
            <v>88.685000000000002</v>
          </cell>
          <cell r="Q37">
            <v>1</v>
          </cell>
          <cell r="R37">
            <v>1</v>
          </cell>
          <cell r="S37">
            <v>89.878</v>
          </cell>
          <cell r="T37">
            <v>1</v>
          </cell>
          <cell r="U37">
            <v>1</v>
          </cell>
          <cell r="V37">
            <v>90.466999999999999</v>
          </cell>
          <cell r="W37">
            <v>1</v>
          </cell>
          <cell r="X37">
            <v>1</v>
          </cell>
          <cell r="Y37">
            <v>90.081000000000003</v>
          </cell>
          <cell r="Z37">
            <v>1</v>
          </cell>
          <cell r="AA37">
            <v>1</v>
          </cell>
          <cell r="AB37">
            <v>90.947000000000003</v>
          </cell>
        </row>
        <row r="38">
          <cell r="A38" t="str">
            <v>GHS</v>
          </cell>
          <cell r="B38">
            <v>1</v>
          </cell>
          <cell r="C38">
            <v>1</v>
          </cell>
          <cell r="D38">
            <v>6.2641600000000004</v>
          </cell>
          <cell r="E38">
            <v>1</v>
          </cell>
          <cell r="F38">
            <v>1</v>
          </cell>
          <cell r="G38">
            <v>5.8611800000000001</v>
          </cell>
          <cell r="H38">
            <v>1</v>
          </cell>
          <cell r="I38">
            <v>1</v>
          </cell>
          <cell r="J38">
            <v>6.1809900000000004</v>
          </cell>
          <cell r="K38">
            <v>1</v>
          </cell>
          <cell r="L38">
            <v>1</v>
          </cell>
          <cell r="M38">
            <v>6.3041499999999999</v>
          </cell>
          <cell r="N38">
            <v>1</v>
          </cell>
          <cell r="O38">
            <v>1</v>
          </cell>
          <cell r="P38">
            <v>6.3059900000000004</v>
          </cell>
          <cell r="Q38">
            <v>1</v>
          </cell>
          <cell r="R38">
            <v>1</v>
          </cell>
          <cell r="S38">
            <v>6.5123800000000003</v>
          </cell>
          <cell r="T38">
            <v>1</v>
          </cell>
          <cell r="U38">
            <v>1</v>
          </cell>
          <cell r="V38">
            <v>6.6251100000000003</v>
          </cell>
          <cell r="W38">
            <v>1</v>
          </cell>
          <cell r="X38">
            <v>1</v>
          </cell>
          <cell r="Y38">
            <v>6.8264100000000001</v>
          </cell>
          <cell r="Z38">
            <v>1</v>
          </cell>
          <cell r="AA38">
            <v>1</v>
          </cell>
          <cell r="AB38">
            <v>6.8135300000000001</v>
          </cell>
        </row>
        <row r="39">
          <cell r="A39" t="str">
            <v>GTQ</v>
          </cell>
          <cell r="B39">
            <v>1</v>
          </cell>
          <cell r="C39">
            <v>100</v>
          </cell>
          <cell r="D39">
            <v>8.53796</v>
          </cell>
          <cell r="E39">
            <v>1</v>
          </cell>
          <cell r="F39">
            <v>100</v>
          </cell>
          <cell r="G39">
            <v>8.3403700000000001</v>
          </cell>
          <cell r="H39">
            <v>1</v>
          </cell>
          <cell r="I39">
            <v>100</v>
          </cell>
          <cell r="J39">
            <v>8.4919899999999995</v>
          </cell>
          <cell r="K39">
            <v>1</v>
          </cell>
          <cell r="L39">
            <v>100</v>
          </cell>
          <cell r="M39">
            <v>8.3777000000000008</v>
          </cell>
          <cell r="N39">
            <v>1</v>
          </cell>
          <cell r="O39">
            <v>100</v>
          </cell>
          <cell r="P39">
            <v>8.3963999999999999</v>
          </cell>
          <cell r="Q39">
            <v>1</v>
          </cell>
          <cell r="R39">
            <v>100</v>
          </cell>
          <cell r="S39">
            <v>8.6667799999999993</v>
          </cell>
          <cell r="T39">
            <v>1</v>
          </cell>
          <cell r="U39">
            <v>100</v>
          </cell>
          <cell r="V39">
            <v>8.8324499999999997</v>
          </cell>
          <cell r="W39">
            <v>1</v>
          </cell>
          <cell r="X39">
            <v>100</v>
          </cell>
          <cell r="Y39">
            <v>9.11374</v>
          </cell>
          <cell r="Z39">
            <v>1</v>
          </cell>
          <cell r="AA39">
            <v>100</v>
          </cell>
          <cell r="AB39">
            <v>9.1411200000000008</v>
          </cell>
        </row>
        <row r="40">
          <cell r="A40" t="str">
            <v>HKD</v>
          </cell>
          <cell r="B40">
            <v>1</v>
          </cell>
          <cell r="C40">
            <v>100</v>
          </cell>
          <cell r="D40">
            <v>8.6282499999999995</v>
          </cell>
          <cell r="E40">
            <v>1</v>
          </cell>
          <cell r="F40">
            <v>100</v>
          </cell>
          <cell r="G40">
            <v>8.4785000000000004</v>
          </cell>
          <cell r="H40">
            <v>1</v>
          </cell>
          <cell r="I40">
            <v>100</v>
          </cell>
          <cell r="J40">
            <v>8.5907300000000006</v>
          </cell>
          <cell r="K40">
            <v>1</v>
          </cell>
          <cell r="L40">
            <v>100</v>
          </cell>
          <cell r="M40">
            <v>8.4193599999999993</v>
          </cell>
          <cell r="N40">
            <v>1</v>
          </cell>
          <cell r="O40">
            <v>100</v>
          </cell>
          <cell r="P40">
            <v>8.4511400000000005</v>
          </cell>
          <cell r="Q40">
            <v>1</v>
          </cell>
          <cell r="R40">
            <v>100</v>
          </cell>
          <cell r="S40">
            <v>8.7226400000000002</v>
          </cell>
          <cell r="T40">
            <v>1</v>
          </cell>
          <cell r="U40">
            <v>100</v>
          </cell>
          <cell r="V40">
            <v>8.88537</v>
          </cell>
          <cell r="W40">
            <v>1</v>
          </cell>
          <cell r="X40">
            <v>100</v>
          </cell>
          <cell r="Y40">
            <v>9.16709</v>
          </cell>
          <cell r="Z40">
            <v>1</v>
          </cell>
          <cell r="AA40">
            <v>100</v>
          </cell>
          <cell r="AB40">
            <v>9.1393400000000007</v>
          </cell>
        </row>
        <row r="41">
          <cell r="A41" t="str">
            <v>HNL</v>
          </cell>
          <cell r="B41">
            <v>1</v>
          </cell>
          <cell r="C41">
            <v>100</v>
          </cell>
          <cell r="D41">
            <v>27.353210000000001</v>
          </cell>
          <cell r="E41">
            <v>1</v>
          </cell>
          <cell r="F41">
            <v>100</v>
          </cell>
          <cell r="G41">
            <v>26.90747</v>
          </cell>
          <cell r="H41">
            <v>1</v>
          </cell>
          <cell r="I41">
            <v>100</v>
          </cell>
          <cell r="J41">
            <v>27.29251</v>
          </cell>
          <cell r="K41">
            <v>1</v>
          </cell>
          <cell r="L41">
            <v>100</v>
          </cell>
          <cell r="M41">
            <v>26.959040000000002</v>
          </cell>
          <cell r="N41">
            <v>1</v>
          </cell>
          <cell r="O41">
            <v>100</v>
          </cell>
          <cell r="P41">
            <v>27.081299999999999</v>
          </cell>
          <cell r="Q41">
            <v>1</v>
          </cell>
          <cell r="R41">
            <v>100</v>
          </cell>
          <cell r="S41">
            <v>27.898700000000002</v>
          </cell>
          <cell r="T41">
            <v>1</v>
          </cell>
          <cell r="U41">
            <v>100</v>
          </cell>
          <cell r="V41">
            <v>28.321860000000001</v>
          </cell>
          <cell r="W41">
            <v>1</v>
          </cell>
          <cell r="X41">
            <v>100</v>
          </cell>
          <cell r="Y41">
            <v>29.030999999999999</v>
          </cell>
          <cell r="Z41">
            <v>1</v>
          </cell>
          <cell r="AA41">
            <v>100</v>
          </cell>
          <cell r="AB41">
            <v>28.853339999999999</v>
          </cell>
        </row>
        <row r="42">
          <cell r="A42" t="str">
            <v>HRK</v>
          </cell>
          <cell r="B42">
            <v>1</v>
          </cell>
          <cell r="C42">
            <v>100</v>
          </cell>
          <cell r="D42">
            <v>7.4428799999999997</v>
          </cell>
          <cell r="E42">
            <v>1</v>
          </cell>
          <cell r="F42">
            <v>100</v>
          </cell>
          <cell r="G42">
            <v>7.4543400000000002</v>
          </cell>
          <cell r="H42">
            <v>1</v>
          </cell>
          <cell r="I42">
            <v>100</v>
          </cell>
          <cell r="J42">
            <v>7.5705999999999998</v>
          </cell>
          <cell r="K42">
            <v>1</v>
          </cell>
          <cell r="L42">
            <v>100</v>
          </cell>
          <cell r="M42">
            <v>7.5928000000000004</v>
          </cell>
          <cell r="N42">
            <v>1</v>
          </cell>
          <cell r="O42">
            <v>100</v>
          </cell>
          <cell r="P42">
            <v>7.5748800000000003</v>
          </cell>
          <cell r="Q42">
            <v>1</v>
          </cell>
          <cell r="R42">
            <v>100</v>
          </cell>
          <cell r="S42">
            <v>7.5682499999999999</v>
          </cell>
          <cell r="T42">
            <v>1</v>
          </cell>
          <cell r="U42">
            <v>100</v>
          </cell>
          <cell r="V42">
            <v>7.5296000000000003</v>
          </cell>
          <cell r="W42">
            <v>1</v>
          </cell>
          <cell r="X42">
            <v>100</v>
          </cell>
          <cell r="Y42">
            <v>7.5076999999999998</v>
          </cell>
          <cell r="Z42">
            <v>1</v>
          </cell>
          <cell r="AA42">
            <v>100</v>
          </cell>
          <cell r="AB42">
            <v>7.5416699999999999</v>
          </cell>
        </row>
        <row r="43">
          <cell r="A43" t="str">
            <v>HUF</v>
          </cell>
          <cell r="B43">
            <v>1</v>
          </cell>
          <cell r="C43">
            <v>1000</v>
          </cell>
          <cell r="D43">
            <v>334.37954999999999</v>
          </cell>
          <cell r="E43">
            <v>1</v>
          </cell>
          <cell r="F43">
            <v>1000</v>
          </cell>
          <cell r="G43">
            <v>337.1705</v>
          </cell>
          <cell r="H43">
            <v>1</v>
          </cell>
          <cell r="I43">
            <v>1000</v>
          </cell>
          <cell r="J43">
            <v>345.68227000000002</v>
          </cell>
          <cell r="K43">
            <v>1</v>
          </cell>
          <cell r="L43">
            <v>1000</v>
          </cell>
          <cell r="M43">
            <v>356.6875</v>
          </cell>
          <cell r="N43">
            <v>1</v>
          </cell>
          <cell r="O43">
            <v>1000</v>
          </cell>
          <cell r="P43">
            <v>350.76150000000001</v>
          </cell>
          <cell r="Q43">
            <v>1</v>
          </cell>
          <cell r="R43">
            <v>1000</v>
          </cell>
          <cell r="S43">
            <v>347.68635999999998</v>
          </cell>
          <cell r="T43">
            <v>1</v>
          </cell>
          <cell r="U43">
            <v>1000</v>
          </cell>
          <cell r="V43">
            <v>351.16347999999999</v>
          </cell>
          <cell r="W43">
            <v>1</v>
          </cell>
          <cell r="X43">
            <v>1000</v>
          </cell>
          <cell r="Y43">
            <v>348.92809999999997</v>
          </cell>
          <cell r="Z43">
            <v>1</v>
          </cell>
          <cell r="AA43">
            <v>1000</v>
          </cell>
          <cell r="AB43">
            <v>360.60545000000002</v>
          </cell>
        </row>
        <row r="44">
          <cell r="A44" t="str">
            <v>IDR</v>
          </cell>
          <cell r="B44">
            <v>1</v>
          </cell>
          <cell r="C44">
            <v>10000</v>
          </cell>
          <cell r="D44">
            <v>152.36076</v>
          </cell>
          <cell r="E44">
            <v>1</v>
          </cell>
          <cell r="F44">
            <v>10000</v>
          </cell>
          <cell r="G44">
            <v>150.32661999999999</v>
          </cell>
          <cell r="H44">
            <v>1</v>
          </cell>
          <cell r="I44">
            <v>10000</v>
          </cell>
          <cell r="J44">
            <v>168.51124999999999</v>
          </cell>
          <cell r="K44">
            <v>1</v>
          </cell>
          <cell r="L44">
            <v>10000</v>
          </cell>
          <cell r="M44">
            <v>171.78888000000001</v>
          </cell>
          <cell r="N44">
            <v>1</v>
          </cell>
          <cell r="O44">
            <v>10000</v>
          </cell>
          <cell r="P44">
            <v>161.98230000000001</v>
          </cell>
          <cell r="Q44">
            <v>1</v>
          </cell>
          <cell r="R44">
            <v>10000</v>
          </cell>
          <cell r="S44">
            <v>159.87119999999999</v>
          </cell>
          <cell r="T44">
            <v>1</v>
          </cell>
          <cell r="U44">
            <v>10000</v>
          </cell>
          <cell r="V44">
            <v>166.59275</v>
          </cell>
          <cell r="W44">
            <v>1</v>
          </cell>
          <cell r="X44">
            <v>10000</v>
          </cell>
          <cell r="Y44">
            <v>174.02529000000001</v>
          </cell>
          <cell r="Z44">
            <v>1</v>
          </cell>
          <cell r="AA44">
            <v>10000</v>
          </cell>
          <cell r="AB44">
            <v>174.91989000000001</v>
          </cell>
        </row>
        <row r="45">
          <cell r="A45" t="str">
            <v>ILS</v>
          </cell>
          <cell r="B45">
            <v>1</v>
          </cell>
          <cell r="C45">
            <v>100</v>
          </cell>
          <cell r="D45">
            <v>3.84172</v>
          </cell>
          <cell r="E45">
            <v>1</v>
          </cell>
          <cell r="F45">
            <v>100</v>
          </cell>
          <cell r="G45">
            <v>3.7431700000000001</v>
          </cell>
          <cell r="H45">
            <v>1</v>
          </cell>
          <cell r="I45">
            <v>100</v>
          </cell>
          <cell r="J45">
            <v>3.9859900000000001</v>
          </cell>
          <cell r="K45">
            <v>1</v>
          </cell>
          <cell r="L45">
            <v>100</v>
          </cell>
          <cell r="M45">
            <v>3.8771399999999998</v>
          </cell>
          <cell r="N45">
            <v>1</v>
          </cell>
          <cell r="O45">
            <v>100</v>
          </cell>
          <cell r="P45">
            <v>3.8347799999999999</v>
          </cell>
          <cell r="Q45">
            <v>1</v>
          </cell>
          <cell r="R45">
            <v>100</v>
          </cell>
          <cell r="S45">
            <v>3.8892899999999999</v>
          </cell>
          <cell r="T45">
            <v>1</v>
          </cell>
          <cell r="U45">
            <v>100</v>
          </cell>
          <cell r="V45">
            <v>3.93309</v>
          </cell>
          <cell r="W45">
            <v>1</v>
          </cell>
          <cell r="X45">
            <v>100</v>
          </cell>
          <cell r="Y45">
            <v>4.0214400000000001</v>
          </cell>
          <cell r="Z45">
            <v>1</v>
          </cell>
          <cell r="AA45">
            <v>100</v>
          </cell>
          <cell r="AB45">
            <v>4.0349599999999999</v>
          </cell>
        </row>
        <row r="46">
          <cell r="A46" t="str">
            <v>INR</v>
          </cell>
          <cell r="B46">
            <v>1</v>
          </cell>
          <cell r="C46">
            <v>100</v>
          </cell>
          <cell r="D46">
            <v>79.134240000000005</v>
          </cell>
          <cell r="E46">
            <v>1</v>
          </cell>
          <cell r="F46">
            <v>100</v>
          </cell>
          <cell r="G46">
            <v>77.981750000000005</v>
          </cell>
          <cell r="H46">
            <v>1</v>
          </cell>
          <cell r="I46">
            <v>100</v>
          </cell>
          <cell r="J46">
            <v>82.437430000000006</v>
          </cell>
          <cell r="K46">
            <v>1</v>
          </cell>
          <cell r="L46">
            <v>100</v>
          </cell>
          <cell r="M46">
            <v>82.786910000000006</v>
          </cell>
          <cell r="N46">
            <v>1</v>
          </cell>
          <cell r="O46">
            <v>100</v>
          </cell>
          <cell r="P46">
            <v>82.4983</v>
          </cell>
          <cell r="Q46">
            <v>1</v>
          </cell>
          <cell r="R46">
            <v>100</v>
          </cell>
          <cell r="S46">
            <v>85.221199999999996</v>
          </cell>
          <cell r="T46">
            <v>1</v>
          </cell>
          <cell r="U46">
            <v>100</v>
          </cell>
          <cell r="V46">
            <v>85.88467</v>
          </cell>
          <cell r="W46">
            <v>1</v>
          </cell>
          <cell r="X46">
            <v>100</v>
          </cell>
          <cell r="Y46">
            <v>88.230860000000007</v>
          </cell>
          <cell r="Z46">
            <v>1</v>
          </cell>
          <cell r="AA46">
            <v>100</v>
          </cell>
          <cell r="AB46">
            <v>86.726600000000005</v>
          </cell>
        </row>
        <row r="47">
          <cell r="A47" t="str">
            <v>IRR</v>
          </cell>
          <cell r="B47">
            <v>1</v>
          </cell>
          <cell r="C47">
            <v>10000</v>
          </cell>
          <cell r="D47">
            <v>4662.1499999999996</v>
          </cell>
          <cell r="E47">
            <v>1</v>
          </cell>
          <cell r="F47">
            <v>10000</v>
          </cell>
          <cell r="G47">
            <v>4580.1000000000004</v>
          </cell>
          <cell r="H47">
            <v>1</v>
          </cell>
          <cell r="I47">
            <v>10000</v>
          </cell>
          <cell r="J47">
            <v>4646.6181800000004</v>
          </cell>
          <cell r="K47">
            <v>1</v>
          </cell>
          <cell r="L47">
            <v>10000</v>
          </cell>
          <cell r="M47">
            <v>4561.9849999999997</v>
          </cell>
          <cell r="N47">
            <v>1</v>
          </cell>
          <cell r="O47">
            <v>10000</v>
          </cell>
          <cell r="P47">
            <v>4578.78</v>
          </cell>
          <cell r="Q47">
            <v>1</v>
          </cell>
          <cell r="R47">
            <v>10000</v>
          </cell>
          <cell r="S47">
            <v>4726.9409100000003</v>
          </cell>
          <cell r="T47">
            <v>1</v>
          </cell>
          <cell r="U47">
            <v>10000</v>
          </cell>
          <cell r="V47">
            <v>4814.6347800000003</v>
          </cell>
          <cell r="W47">
            <v>1</v>
          </cell>
          <cell r="X47">
            <v>10000</v>
          </cell>
          <cell r="Y47">
            <v>4967.8095199999998</v>
          </cell>
          <cell r="Z47">
            <v>1</v>
          </cell>
          <cell r="AA47">
            <v>10000</v>
          </cell>
          <cell r="AB47">
            <v>4952.8090899999997</v>
          </cell>
        </row>
        <row r="48">
          <cell r="A48" t="str">
            <v>ISK</v>
          </cell>
          <cell r="B48">
            <v>1</v>
          </cell>
          <cell r="C48">
            <v>100</v>
          </cell>
          <cell r="D48">
            <v>137.13755</v>
          </cell>
          <cell r="E48">
            <v>1</v>
          </cell>
          <cell r="F48">
            <v>100</v>
          </cell>
          <cell r="G48">
            <v>138.27672000000001</v>
          </cell>
          <cell r="H48">
            <v>1</v>
          </cell>
          <cell r="I48">
            <v>100</v>
          </cell>
          <cell r="J48">
            <v>149.20361</v>
          </cell>
          <cell r="K48">
            <v>1</v>
          </cell>
          <cell r="L48">
            <v>100</v>
          </cell>
          <cell r="M48">
            <v>157.11430999999999</v>
          </cell>
          <cell r="N48">
            <v>1</v>
          </cell>
          <cell r="O48">
            <v>100</v>
          </cell>
          <cell r="P48">
            <v>156.60489000000001</v>
          </cell>
          <cell r="Q48">
            <v>1</v>
          </cell>
          <cell r="R48">
            <v>100</v>
          </cell>
          <cell r="S48">
            <v>152.77552</v>
          </cell>
          <cell r="T48">
            <v>1</v>
          </cell>
          <cell r="U48">
            <v>100</v>
          </cell>
          <cell r="V48">
            <v>158.56617</v>
          </cell>
          <cell r="W48">
            <v>1</v>
          </cell>
          <cell r="X48">
            <v>100</v>
          </cell>
          <cell r="Y48">
            <v>161.88584</v>
          </cell>
          <cell r="Z48">
            <v>1</v>
          </cell>
          <cell r="AA48">
            <v>100</v>
          </cell>
          <cell r="AB48">
            <v>162.70695000000001</v>
          </cell>
        </row>
        <row r="49">
          <cell r="A49" t="str">
            <v>JMD</v>
          </cell>
          <cell r="B49">
            <v>1</v>
          </cell>
          <cell r="C49">
            <v>100</v>
          </cell>
          <cell r="D49">
            <v>151.07783000000001</v>
          </cell>
          <cell r="E49">
            <v>1</v>
          </cell>
          <cell r="F49">
            <v>100</v>
          </cell>
          <cell r="G49">
            <v>152.80392000000001</v>
          </cell>
          <cell r="H49">
            <v>1</v>
          </cell>
          <cell r="I49">
            <v>100</v>
          </cell>
          <cell r="J49">
            <v>149.56353999999999</v>
          </cell>
          <cell r="K49">
            <v>1</v>
          </cell>
          <cell r="L49">
            <v>100</v>
          </cell>
          <cell r="M49">
            <v>150.35552999999999</v>
          </cell>
          <cell r="N49">
            <v>1</v>
          </cell>
          <cell r="O49">
            <v>100</v>
          </cell>
          <cell r="P49">
            <v>158.12479999999999</v>
          </cell>
          <cell r="Q49">
            <v>1</v>
          </cell>
          <cell r="R49">
            <v>100</v>
          </cell>
          <cell r="S49">
            <v>158.5018</v>
          </cell>
          <cell r="T49">
            <v>1</v>
          </cell>
          <cell r="U49">
            <v>100</v>
          </cell>
          <cell r="V49">
            <v>165.23569000000001</v>
          </cell>
          <cell r="W49">
            <v>1</v>
          </cell>
          <cell r="X49">
            <v>100</v>
          </cell>
          <cell r="Y49">
            <v>176.50303</v>
          </cell>
          <cell r="Z49">
            <v>1</v>
          </cell>
          <cell r="AA49">
            <v>100</v>
          </cell>
          <cell r="AB49">
            <v>169.57714000000001</v>
          </cell>
        </row>
        <row r="50">
          <cell r="A50" t="str">
            <v>JOD</v>
          </cell>
          <cell r="B50">
            <v>1</v>
          </cell>
          <cell r="C50">
            <v>1</v>
          </cell>
          <cell r="D50">
            <v>0.78676999999999997</v>
          </cell>
          <cell r="E50">
            <v>1</v>
          </cell>
          <cell r="F50">
            <v>1</v>
          </cell>
          <cell r="G50">
            <v>0.77327000000000001</v>
          </cell>
          <cell r="H50">
            <v>1</v>
          </cell>
          <cell r="I50">
            <v>1</v>
          </cell>
          <cell r="J50">
            <v>0.78295000000000003</v>
          </cell>
          <cell r="K50">
            <v>1</v>
          </cell>
          <cell r="L50">
            <v>1</v>
          </cell>
          <cell r="M50">
            <v>0.77070000000000005</v>
          </cell>
          <cell r="N50">
            <v>1</v>
          </cell>
          <cell r="O50">
            <v>1</v>
          </cell>
          <cell r="P50">
            <v>0.77336000000000005</v>
          </cell>
          <cell r="Q50">
            <v>1</v>
          </cell>
          <cell r="R50">
            <v>1</v>
          </cell>
          <cell r="S50">
            <v>0.79832999999999998</v>
          </cell>
          <cell r="T50">
            <v>1</v>
          </cell>
          <cell r="U50">
            <v>1</v>
          </cell>
          <cell r="V50">
            <v>0.81364999999999998</v>
          </cell>
          <cell r="W50">
            <v>1</v>
          </cell>
          <cell r="X50">
            <v>1</v>
          </cell>
          <cell r="Y50">
            <v>0.83875</v>
          </cell>
          <cell r="Z50">
            <v>1</v>
          </cell>
          <cell r="AA50">
            <v>1</v>
          </cell>
          <cell r="AB50">
            <v>0.83555999999999997</v>
          </cell>
        </row>
        <row r="51">
          <cell r="A51" t="str">
            <v>JPY</v>
          </cell>
          <cell r="B51">
            <v>1</v>
          </cell>
          <cell r="C51">
            <v>1000</v>
          </cell>
          <cell r="D51">
            <v>121.36273</v>
          </cell>
          <cell r="E51">
            <v>1</v>
          </cell>
          <cell r="F51">
            <v>1000</v>
          </cell>
          <cell r="G51">
            <v>120.02549999999999</v>
          </cell>
          <cell r="H51">
            <v>1</v>
          </cell>
          <cell r="I51">
            <v>1000</v>
          </cell>
          <cell r="J51">
            <v>118.89727000000001</v>
          </cell>
          <cell r="K51">
            <v>1</v>
          </cell>
          <cell r="L51">
            <v>1000</v>
          </cell>
          <cell r="M51">
            <v>116.97</v>
          </cell>
          <cell r="N51">
            <v>1</v>
          </cell>
          <cell r="O51">
            <v>1000</v>
          </cell>
          <cell r="P51">
            <v>116.867</v>
          </cell>
          <cell r="Q51">
            <v>1</v>
          </cell>
          <cell r="R51">
            <v>1000</v>
          </cell>
          <cell r="S51">
            <v>121.12045000000001</v>
          </cell>
          <cell r="T51">
            <v>1</v>
          </cell>
          <cell r="U51">
            <v>1000</v>
          </cell>
          <cell r="V51">
            <v>122.38043</v>
          </cell>
          <cell r="W51">
            <v>1</v>
          </cell>
          <cell r="X51">
            <v>1000</v>
          </cell>
          <cell r="Y51">
            <v>125.40380999999999</v>
          </cell>
          <cell r="Z51">
            <v>1</v>
          </cell>
          <cell r="AA51">
            <v>1000</v>
          </cell>
          <cell r="AB51">
            <v>124.50136000000001</v>
          </cell>
        </row>
        <row r="52">
          <cell r="A52" t="str">
            <v>KES</v>
          </cell>
          <cell r="B52">
            <v>1</v>
          </cell>
          <cell r="C52">
            <v>100</v>
          </cell>
          <cell r="D52">
            <v>112.12688</v>
          </cell>
          <cell r="E52">
            <v>1</v>
          </cell>
          <cell r="F52">
            <v>100</v>
          </cell>
          <cell r="G52">
            <v>109.9316</v>
          </cell>
          <cell r="H52">
            <v>1</v>
          </cell>
          <cell r="I52">
            <v>100</v>
          </cell>
          <cell r="J52">
            <v>114.75555</v>
          </cell>
          <cell r="K52">
            <v>1</v>
          </cell>
          <cell r="L52">
            <v>100</v>
          </cell>
          <cell r="M52">
            <v>115.79646</v>
          </cell>
          <cell r="N52">
            <v>1</v>
          </cell>
          <cell r="O52">
            <v>100</v>
          </cell>
          <cell r="P52">
            <v>116.38023</v>
          </cell>
          <cell r="Q52">
            <v>1</v>
          </cell>
          <cell r="R52">
            <v>100</v>
          </cell>
          <cell r="S52">
            <v>119.83198</v>
          </cell>
          <cell r="T52">
            <v>1</v>
          </cell>
          <cell r="U52">
            <v>100</v>
          </cell>
          <cell r="V52">
            <v>123.21268000000001</v>
          </cell>
          <cell r="W52">
            <v>1</v>
          </cell>
          <cell r="X52">
            <v>100</v>
          </cell>
          <cell r="Y52">
            <v>127.95923000000001</v>
          </cell>
          <cell r="Z52">
            <v>1</v>
          </cell>
          <cell r="AA52">
            <v>100</v>
          </cell>
          <cell r="AB52">
            <v>127.80338999999999</v>
          </cell>
        </row>
        <row r="53">
          <cell r="A53" t="str">
            <v>KRW</v>
          </cell>
          <cell r="B53">
            <v>1</v>
          </cell>
          <cell r="C53">
            <v>10000</v>
          </cell>
          <cell r="D53">
            <v>12.9612</v>
          </cell>
          <cell r="E53">
            <v>1</v>
          </cell>
          <cell r="F53">
            <v>10000</v>
          </cell>
          <cell r="G53">
            <v>13.03581</v>
          </cell>
          <cell r="H53">
            <v>1</v>
          </cell>
          <cell r="I53">
            <v>10000</v>
          </cell>
          <cell r="J53">
            <v>13.47988</v>
          </cell>
          <cell r="K53">
            <v>1</v>
          </cell>
          <cell r="L53">
            <v>10000</v>
          </cell>
          <cell r="M53">
            <v>13.28889</v>
          </cell>
          <cell r="N53">
            <v>1</v>
          </cell>
          <cell r="O53">
            <v>10000</v>
          </cell>
          <cell r="P53">
            <v>13.404389999999999</v>
          </cell>
          <cell r="Q53">
            <v>1</v>
          </cell>
          <cell r="R53">
            <v>10000</v>
          </cell>
          <cell r="S53">
            <v>13.5875</v>
          </cell>
          <cell r="T53">
            <v>1</v>
          </cell>
          <cell r="U53">
            <v>10000</v>
          </cell>
          <cell r="V53">
            <v>13.741619999999999</v>
          </cell>
          <cell r="W53">
            <v>1</v>
          </cell>
          <cell r="X53">
            <v>10000</v>
          </cell>
          <cell r="Y53">
            <v>14.03436</v>
          </cell>
          <cell r="Z53">
            <v>1</v>
          </cell>
          <cell r="AA53">
            <v>10000</v>
          </cell>
          <cell r="AB53">
            <v>13.88679</v>
          </cell>
        </row>
        <row r="54">
          <cell r="A54" t="str">
            <v>KWD</v>
          </cell>
          <cell r="B54">
            <v>10</v>
          </cell>
          <cell r="C54">
            <v>1</v>
          </cell>
          <cell r="D54">
            <v>3.3681999999999999</v>
          </cell>
          <cell r="E54">
            <v>10</v>
          </cell>
          <cell r="F54">
            <v>1</v>
          </cell>
          <cell r="G54">
            <v>3.3296000000000001</v>
          </cell>
          <cell r="H54">
            <v>10</v>
          </cell>
          <cell r="I54">
            <v>1</v>
          </cell>
          <cell r="J54">
            <v>3.4154</v>
          </cell>
          <cell r="K54">
            <v>10</v>
          </cell>
          <cell r="L54">
            <v>1</v>
          </cell>
          <cell r="M54">
            <v>3.3797000000000001</v>
          </cell>
          <cell r="N54">
            <v>10</v>
          </cell>
          <cell r="O54">
            <v>1</v>
          </cell>
          <cell r="P54">
            <v>3.3713000000000002</v>
          </cell>
          <cell r="Q54">
            <v>10</v>
          </cell>
          <cell r="R54">
            <v>1</v>
          </cell>
          <cell r="S54">
            <v>3.4658000000000002</v>
          </cell>
          <cell r="T54">
            <v>10</v>
          </cell>
          <cell r="U54">
            <v>1</v>
          </cell>
          <cell r="V54">
            <v>3.5242</v>
          </cell>
          <cell r="W54">
            <v>10</v>
          </cell>
          <cell r="X54">
            <v>1</v>
          </cell>
          <cell r="Y54">
            <v>3.6162999999999998</v>
          </cell>
          <cell r="Z54">
            <v>10</v>
          </cell>
          <cell r="AA54">
            <v>1</v>
          </cell>
          <cell r="AB54">
            <v>3.6057999999999999</v>
          </cell>
        </row>
        <row r="55">
          <cell r="A55" t="str">
            <v>KYD</v>
          </cell>
          <cell r="B55">
            <v>1</v>
          </cell>
          <cell r="C55">
            <v>1</v>
          </cell>
          <cell r="D55">
            <v>0.90995000000000004</v>
          </cell>
          <cell r="E55">
            <v>1</v>
          </cell>
          <cell r="F55">
            <v>1</v>
          </cell>
          <cell r="G55">
            <v>0.89434000000000002</v>
          </cell>
          <cell r="H55">
            <v>1</v>
          </cell>
          <cell r="I55">
            <v>1</v>
          </cell>
          <cell r="J55">
            <v>0.90554000000000001</v>
          </cell>
          <cell r="K55">
            <v>1</v>
          </cell>
          <cell r="L55">
            <v>1</v>
          </cell>
          <cell r="M55">
            <v>0.89129999999999998</v>
          </cell>
          <cell r="N55">
            <v>1</v>
          </cell>
          <cell r="O55">
            <v>1</v>
          </cell>
          <cell r="P55">
            <v>0.89436000000000004</v>
          </cell>
          <cell r="Q55">
            <v>1</v>
          </cell>
          <cell r="R55">
            <v>1</v>
          </cell>
          <cell r="S55">
            <v>0.92332999999999998</v>
          </cell>
          <cell r="T55">
            <v>1</v>
          </cell>
          <cell r="U55">
            <v>1</v>
          </cell>
          <cell r="V55">
            <v>0.94105000000000005</v>
          </cell>
          <cell r="W55">
            <v>1</v>
          </cell>
          <cell r="X55">
            <v>1</v>
          </cell>
          <cell r="Y55">
            <v>0.97004000000000001</v>
          </cell>
          <cell r="Z55">
            <v>1</v>
          </cell>
          <cell r="AA55">
            <v>1</v>
          </cell>
          <cell r="AB55">
            <v>0.96638000000000002</v>
          </cell>
        </row>
        <row r="56">
          <cell r="A56" t="str">
            <v>KZT</v>
          </cell>
          <cell r="B56">
            <v>1</v>
          </cell>
          <cell r="C56">
            <v>100</v>
          </cell>
          <cell r="D56">
            <v>420.25540000000001</v>
          </cell>
          <cell r="E56">
            <v>1</v>
          </cell>
          <cell r="F56">
            <v>100</v>
          </cell>
          <cell r="G56">
            <v>411.92685999999998</v>
          </cell>
          <cell r="H56">
            <v>1</v>
          </cell>
          <cell r="I56">
            <v>100</v>
          </cell>
          <cell r="J56">
            <v>463.59165000000002</v>
          </cell>
          <cell r="K56">
            <v>1</v>
          </cell>
          <cell r="L56">
            <v>100</v>
          </cell>
          <cell r="M56">
            <v>471.15701000000001</v>
          </cell>
          <cell r="N56">
            <v>1</v>
          </cell>
          <cell r="O56">
            <v>100</v>
          </cell>
          <cell r="P56">
            <v>456.58416</v>
          </cell>
          <cell r="Q56">
            <v>1</v>
          </cell>
          <cell r="R56">
            <v>100</v>
          </cell>
          <cell r="S56">
            <v>453.41111000000001</v>
          </cell>
          <cell r="T56">
            <v>1</v>
          </cell>
          <cell r="U56">
            <v>100</v>
          </cell>
          <cell r="V56">
            <v>473.95596</v>
          </cell>
          <cell r="W56">
            <v>1</v>
          </cell>
          <cell r="X56">
            <v>100</v>
          </cell>
          <cell r="Y56">
            <v>496.28949</v>
          </cell>
          <cell r="Z56">
            <v>1</v>
          </cell>
          <cell r="AA56">
            <v>100</v>
          </cell>
          <cell r="AB56">
            <v>500.99684000000002</v>
          </cell>
        </row>
        <row r="57">
          <cell r="A57" t="str">
            <v>LBP</v>
          </cell>
          <cell r="B57">
            <v>1</v>
          </cell>
          <cell r="C57">
            <v>1000</v>
          </cell>
          <cell r="D57">
            <v>1678.6691499999999</v>
          </cell>
          <cell r="E57">
            <v>1</v>
          </cell>
          <cell r="F57">
            <v>1000</v>
          </cell>
          <cell r="G57">
            <v>1649.66345</v>
          </cell>
          <cell r="H57">
            <v>1</v>
          </cell>
          <cell r="I57">
            <v>1000</v>
          </cell>
          <cell r="J57">
            <v>1670.4250999999999</v>
          </cell>
          <cell r="K57">
            <v>1</v>
          </cell>
          <cell r="L57">
            <v>1000</v>
          </cell>
          <cell r="M57">
            <v>1643.9450300000001</v>
          </cell>
          <cell r="N57">
            <v>1</v>
          </cell>
          <cell r="O57">
            <v>1000</v>
          </cell>
          <cell r="P57">
            <v>1649.3019899999999</v>
          </cell>
          <cell r="Q57">
            <v>1</v>
          </cell>
          <cell r="R57">
            <v>1000</v>
          </cell>
          <cell r="S57">
            <v>1702.8350600000001</v>
          </cell>
          <cell r="T57">
            <v>1</v>
          </cell>
          <cell r="U57">
            <v>1000</v>
          </cell>
          <cell r="V57">
            <v>1735.26514</v>
          </cell>
          <cell r="W57">
            <v>1</v>
          </cell>
          <cell r="X57">
            <v>1000</v>
          </cell>
          <cell r="Y57">
            <v>1788.6780699999999</v>
          </cell>
          <cell r="Z57">
            <v>1</v>
          </cell>
          <cell r="AA57">
            <v>1000</v>
          </cell>
          <cell r="AB57">
            <v>1782.0735</v>
          </cell>
        </row>
        <row r="58">
          <cell r="A58" t="str">
            <v>LKR</v>
          </cell>
          <cell r="B58">
            <v>1</v>
          </cell>
          <cell r="C58">
            <v>100</v>
          </cell>
          <cell r="D58">
            <v>201.32706999999999</v>
          </cell>
          <cell r="E58">
            <v>1</v>
          </cell>
          <cell r="F58">
            <v>100</v>
          </cell>
          <cell r="G58">
            <v>198.05349000000001</v>
          </cell>
          <cell r="H58">
            <v>1</v>
          </cell>
          <cell r="I58">
            <v>100</v>
          </cell>
          <cell r="J58">
            <v>204.09970000000001</v>
          </cell>
          <cell r="K58">
            <v>1</v>
          </cell>
          <cell r="L58">
            <v>100</v>
          </cell>
          <cell r="M58">
            <v>208.50753</v>
          </cell>
          <cell r="N58">
            <v>1</v>
          </cell>
          <cell r="O58">
            <v>100</v>
          </cell>
          <cell r="P58">
            <v>204.63844</v>
          </cell>
          <cell r="Q58">
            <v>1</v>
          </cell>
          <cell r="R58">
            <v>100</v>
          </cell>
          <cell r="S58">
            <v>209.40888000000001</v>
          </cell>
          <cell r="T58">
            <v>1</v>
          </cell>
          <cell r="U58">
            <v>100</v>
          </cell>
          <cell r="V58">
            <v>213.22348</v>
          </cell>
          <cell r="W58">
            <v>1</v>
          </cell>
          <cell r="X58">
            <v>100</v>
          </cell>
          <cell r="Y58">
            <v>218.85485</v>
          </cell>
          <cell r="Z58">
            <v>1</v>
          </cell>
          <cell r="AA58">
            <v>100</v>
          </cell>
          <cell r="AB58">
            <v>218.04273000000001</v>
          </cell>
        </row>
        <row r="59">
          <cell r="A59" t="str">
            <v>MAD</v>
          </cell>
          <cell r="B59">
            <v>1</v>
          </cell>
          <cell r="C59">
            <v>100</v>
          </cell>
          <cell r="D59">
            <v>10.66192</v>
          </cell>
          <cell r="E59">
            <v>1</v>
          </cell>
          <cell r="F59">
            <v>100</v>
          </cell>
          <cell r="G59">
            <v>10.55832</v>
          </cell>
          <cell r="H59">
            <v>1</v>
          </cell>
          <cell r="I59">
            <v>100</v>
          </cell>
          <cell r="J59">
            <v>10.7088</v>
          </cell>
          <cell r="K59">
            <v>1</v>
          </cell>
          <cell r="L59">
            <v>100</v>
          </cell>
          <cell r="M59">
            <v>10.997579999999999</v>
          </cell>
          <cell r="N59">
            <v>1</v>
          </cell>
          <cell r="O59">
            <v>100</v>
          </cell>
          <cell r="P59">
            <v>10.745799999999999</v>
          </cell>
          <cell r="Q59">
            <v>1</v>
          </cell>
          <cell r="R59">
            <v>100</v>
          </cell>
          <cell r="S59">
            <v>10.895049999999999</v>
          </cell>
          <cell r="T59">
            <v>1</v>
          </cell>
          <cell r="U59">
            <v>100</v>
          </cell>
          <cell r="V59">
            <v>10.93932</v>
          </cell>
          <cell r="W59">
            <v>1</v>
          </cell>
          <cell r="X59">
            <v>100</v>
          </cell>
          <cell r="Y59">
            <v>10.92089</v>
          </cell>
          <cell r="Z59">
            <v>1</v>
          </cell>
          <cell r="AA59">
            <v>100</v>
          </cell>
          <cell r="AB59">
            <v>10.865349999999999</v>
          </cell>
        </row>
        <row r="60">
          <cell r="A60" t="str">
            <v>MMK</v>
          </cell>
          <cell r="B60">
            <v>1</v>
          </cell>
          <cell r="C60">
            <v>1000</v>
          </cell>
          <cell r="D60">
            <v>1630.76818</v>
          </cell>
          <cell r="E60">
            <v>1</v>
          </cell>
          <cell r="F60">
            <v>1000</v>
          </cell>
          <cell r="G60">
            <v>1579.91499</v>
          </cell>
          <cell r="H60">
            <v>1</v>
          </cell>
          <cell r="I60">
            <v>1000</v>
          </cell>
          <cell r="J60">
            <v>1552.02727</v>
          </cell>
          <cell r="K60">
            <v>1</v>
          </cell>
          <cell r="L60">
            <v>1000</v>
          </cell>
          <cell r="M60">
            <v>1546.2349999999999</v>
          </cell>
          <cell r="N60">
            <v>1</v>
          </cell>
          <cell r="O60">
            <v>1000</v>
          </cell>
          <cell r="P60">
            <v>1530.9599900000001</v>
          </cell>
          <cell r="Q60">
            <v>1</v>
          </cell>
          <cell r="R60">
            <v>1000</v>
          </cell>
          <cell r="S60">
            <v>1571.6863599999999</v>
          </cell>
          <cell r="T60">
            <v>1</v>
          </cell>
          <cell r="U60">
            <v>1000</v>
          </cell>
          <cell r="V60">
            <v>1572.51305</v>
          </cell>
          <cell r="W60">
            <v>1</v>
          </cell>
          <cell r="X60">
            <v>1000</v>
          </cell>
          <cell r="Y60">
            <v>1606.99524</v>
          </cell>
          <cell r="Z60">
            <v>1</v>
          </cell>
          <cell r="AA60">
            <v>1000</v>
          </cell>
          <cell r="AB60">
            <v>1559.55909</v>
          </cell>
        </row>
        <row r="61">
          <cell r="A61" t="str">
            <v>MOP</v>
          </cell>
          <cell r="B61">
            <v>1</v>
          </cell>
          <cell r="C61">
            <v>100</v>
          </cell>
          <cell r="D61">
            <v>8.8835300000000004</v>
          </cell>
          <cell r="E61">
            <v>1</v>
          </cell>
          <cell r="F61">
            <v>100</v>
          </cell>
          <cell r="G61">
            <v>8.7345100000000002</v>
          </cell>
          <cell r="H61">
            <v>1</v>
          </cell>
          <cell r="I61">
            <v>100</v>
          </cell>
          <cell r="J61">
            <v>8.8324200000000008</v>
          </cell>
          <cell r="K61">
            <v>1</v>
          </cell>
          <cell r="L61">
            <v>100</v>
          </cell>
          <cell r="M61">
            <v>8.6779299999999999</v>
          </cell>
          <cell r="N61">
            <v>1</v>
          </cell>
          <cell r="O61">
            <v>100</v>
          </cell>
          <cell r="P61">
            <v>8.7088099999999997</v>
          </cell>
          <cell r="Q61">
            <v>1</v>
          </cell>
          <cell r="R61">
            <v>100</v>
          </cell>
          <cell r="S61">
            <v>8.9886199999999992</v>
          </cell>
          <cell r="T61">
            <v>1</v>
          </cell>
          <cell r="U61">
            <v>100</v>
          </cell>
          <cell r="V61">
            <v>9.1620600000000003</v>
          </cell>
          <cell r="W61">
            <v>1</v>
          </cell>
          <cell r="X61">
            <v>100</v>
          </cell>
          <cell r="Y61">
            <v>9.4433100000000003</v>
          </cell>
          <cell r="Z61">
            <v>1</v>
          </cell>
          <cell r="AA61">
            <v>100</v>
          </cell>
          <cell r="AB61">
            <v>9.4076299999999993</v>
          </cell>
        </row>
        <row r="62">
          <cell r="A62" t="str">
            <v>MUR</v>
          </cell>
          <cell r="B62">
            <v>1</v>
          </cell>
          <cell r="C62">
            <v>10</v>
          </cell>
          <cell r="D62">
            <v>40.658079999999998</v>
          </cell>
          <cell r="E62">
            <v>1</v>
          </cell>
          <cell r="F62">
            <v>10</v>
          </cell>
          <cell r="G62">
            <v>40.684260000000002</v>
          </cell>
          <cell r="H62">
            <v>1</v>
          </cell>
          <cell r="I62">
            <v>10</v>
          </cell>
          <cell r="J62">
            <v>42.34986</v>
          </cell>
          <cell r="K62">
            <v>1</v>
          </cell>
          <cell r="L62">
            <v>10</v>
          </cell>
          <cell r="M62">
            <v>43.225549999999998</v>
          </cell>
          <cell r="N62">
            <v>1</v>
          </cell>
          <cell r="O62">
            <v>10</v>
          </cell>
          <cell r="P62">
            <v>43.628529999999998</v>
          </cell>
          <cell r="Q62">
            <v>1</v>
          </cell>
          <cell r="R62">
            <v>10</v>
          </cell>
          <cell r="S62">
            <v>45.028530000000003</v>
          </cell>
          <cell r="T62">
            <v>1</v>
          </cell>
          <cell r="U62">
            <v>10</v>
          </cell>
          <cell r="V62">
            <v>45.857579999999999</v>
          </cell>
          <cell r="W62">
            <v>1</v>
          </cell>
          <cell r="X62">
            <v>10</v>
          </cell>
          <cell r="Y62">
            <v>47.055320000000002</v>
          </cell>
          <cell r="Z62">
            <v>1</v>
          </cell>
          <cell r="AA62">
            <v>10</v>
          </cell>
          <cell r="AB62">
            <v>46.953809999999997</v>
          </cell>
        </row>
        <row r="63">
          <cell r="A63" t="str">
            <v>MXN</v>
          </cell>
          <cell r="B63">
            <v>1</v>
          </cell>
          <cell r="C63">
            <v>100</v>
          </cell>
          <cell r="D63">
            <v>20.873290000000001</v>
          </cell>
          <cell r="E63">
            <v>1</v>
          </cell>
          <cell r="F63">
            <v>100</v>
          </cell>
          <cell r="G63">
            <v>20.535640000000001</v>
          </cell>
          <cell r="H63">
            <v>1</v>
          </cell>
          <cell r="I63">
            <v>100</v>
          </cell>
          <cell r="J63">
            <v>24.724959999999999</v>
          </cell>
          <cell r="K63">
            <v>1</v>
          </cell>
          <cell r="L63">
            <v>100</v>
          </cell>
          <cell r="M63">
            <v>26.36074</v>
          </cell>
          <cell r="N63">
            <v>1</v>
          </cell>
          <cell r="O63">
            <v>100</v>
          </cell>
          <cell r="P63">
            <v>25.56521</v>
          </cell>
          <cell r="Q63">
            <v>1</v>
          </cell>
          <cell r="R63">
            <v>100</v>
          </cell>
          <cell r="S63">
            <v>25.082840000000001</v>
          </cell>
          <cell r="T63">
            <v>1</v>
          </cell>
          <cell r="U63">
            <v>100</v>
          </cell>
          <cell r="V63">
            <v>25.699919999999999</v>
          </cell>
          <cell r="W63">
            <v>1</v>
          </cell>
          <cell r="X63">
            <v>100</v>
          </cell>
          <cell r="Y63">
            <v>26.254359999999998</v>
          </cell>
          <cell r="Z63">
            <v>1</v>
          </cell>
          <cell r="AA63">
            <v>100</v>
          </cell>
          <cell r="AB63">
            <v>25.536090000000002</v>
          </cell>
        </row>
        <row r="64">
          <cell r="A64" t="str">
            <v>MYR</v>
          </cell>
          <cell r="B64">
            <v>1</v>
          </cell>
          <cell r="C64">
            <v>100</v>
          </cell>
          <cell r="D64">
            <v>4.5278600000000004</v>
          </cell>
          <cell r="E64">
            <v>1</v>
          </cell>
          <cell r="F64">
            <v>100</v>
          </cell>
          <cell r="G64">
            <v>4.5391300000000001</v>
          </cell>
          <cell r="H64">
            <v>1</v>
          </cell>
          <cell r="I64">
            <v>100</v>
          </cell>
          <cell r="J64">
            <v>4.7548599999999999</v>
          </cell>
          <cell r="K64">
            <v>1</v>
          </cell>
          <cell r="L64">
            <v>100</v>
          </cell>
          <cell r="M64">
            <v>4.7306800000000004</v>
          </cell>
          <cell r="N64">
            <v>1</v>
          </cell>
          <cell r="O64">
            <v>100</v>
          </cell>
          <cell r="P64">
            <v>4.7331000000000003</v>
          </cell>
          <cell r="Q64">
            <v>1</v>
          </cell>
          <cell r="R64">
            <v>100</v>
          </cell>
          <cell r="S64">
            <v>4.81175</v>
          </cell>
          <cell r="T64">
            <v>1</v>
          </cell>
          <cell r="U64">
            <v>100</v>
          </cell>
          <cell r="V64">
            <v>4.8878000000000004</v>
          </cell>
          <cell r="W64">
            <v>1</v>
          </cell>
          <cell r="X64">
            <v>100</v>
          </cell>
          <cell r="Y64">
            <v>4.9505699999999999</v>
          </cell>
          <cell r="Z64">
            <v>1</v>
          </cell>
          <cell r="AA64">
            <v>100</v>
          </cell>
          <cell r="AB64">
            <v>4.8934499999999996</v>
          </cell>
        </row>
        <row r="65">
          <cell r="A65" t="str">
            <v>MZN</v>
          </cell>
          <cell r="B65">
            <v>1</v>
          </cell>
          <cell r="C65">
            <v>10</v>
          </cell>
          <cell r="D65">
            <v>69.717129999999997</v>
          </cell>
          <cell r="E65">
            <v>1</v>
          </cell>
          <cell r="F65">
            <v>10</v>
          </cell>
          <cell r="G65">
            <v>70.378559999999993</v>
          </cell>
          <cell r="H65">
            <v>1</v>
          </cell>
          <cell r="I65">
            <v>10</v>
          </cell>
          <cell r="J65">
            <v>73.103679999999997</v>
          </cell>
          <cell r="K65">
            <v>1</v>
          </cell>
          <cell r="L65">
            <v>10</v>
          </cell>
          <cell r="M65">
            <v>73.039050000000003</v>
          </cell>
          <cell r="N65">
            <v>1</v>
          </cell>
          <cell r="O65">
            <v>10</v>
          </cell>
          <cell r="P65">
            <v>74.602590000000006</v>
          </cell>
          <cell r="Q65">
            <v>1</v>
          </cell>
          <cell r="R65">
            <v>10</v>
          </cell>
          <cell r="S65">
            <v>78.396929999999998</v>
          </cell>
          <cell r="T65">
            <v>1</v>
          </cell>
          <cell r="U65">
            <v>10</v>
          </cell>
          <cell r="V65">
            <v>80.759389999999996</v>
          </cell>
          <cell r="W65">
            <v>1</v>
          </cell>
          <cell r="X65">
            <v>10</v>
          </cell>
          <cell r="Y65">
            <v>84.065219999999997</v>
          </cell>
          <cell r="Z65">
            <v>1</v>
          </cell>
          <cell r="AA65">
            <v>10</v>
          </cell>
          <cell r="AB65">
            <v>84.660210000000006</v>
          </cell>
        </row>
        <row r="66">
          <cell r="A66" t="str">
            <v>NAD</v>
          </cell>
          <cell r="B66">
            <v>1</v>
          </cell>
          <cell r="C66">
            <v>100</v>
          </cell>
          <cell r="D66">
            <v>16.009080000000001</v>
          </cell>
          <cell r="E66">
            <v>1</v>
          </cell>
          <cell r="F66">
            <v>100</v>
          </cell>
          <cell r="G66">
            <v>16.364000000000001</v>
          </cell>
          <cell r="H66">
            <v>1</v>
          </cell>
          <cell r="I66">
            <v>100</v>
          </cell>
          <cell r="J66">
            <v>18.417549999999999</v>
          </cell>
          <cell r="K66">
            <v>1</v>
          </cell>
          <cell r="L66">
            <v>100</v>
          </cell>
          <cell r="M66">
            <v>20.182169999999999</v>
          </cell>
          <cell r="N66">
            <v>1</v>
          </cell>
          <cell r="O66">
            <v>100</v>
          </cell>
          <cell r="P66">
            <v>19.745280000000001</v>
          </cell>
          <cell r="Q66">
            <v>1</v>
          </cell>
          <cell r="R66">
            <v>100</v>
          </cell>
          <cell r="S66">
            <v>19.272639999999999</v>
          </cell>
          <cell r="T66">
            <v>1</v>
          </cell>
          <cell r="U66">
            <v>100</v>
          </cell>
          <cell r="V66">
            <v>19.217400000000001</v>
          </cell>
          <cell r="W66">
            <v>1</v>
          </cell>
          <cell r="X66">
            <v>100</v>
          </cell>
          <cell r="Y66">
            <v>20.383559999999999</v>
          </cell>
          <cell r="Z66">
            <v>1</v>
          </cell>
          <cell r="AA66">
            <v>100</v>
          </cell>
          <cell r="AB66">
            <v>19.73376</v>
          </cell>
        </row>
        <row r="67">
          <cell r="A67" t="str">
            <v>NGN</v>
          </cell>
          <cell r="B67">
            <v>1</v>
          </cell>
          <cell r="C67">
            <v>100</v>
          </cell>
          <cell r="D67">
            <v>402.54991000000001</v>
          </cell>
          <cell r="E67">
            <v>1</v>
          </cell>
          <cell r="F67">
            <v>100</v>
          </cell>
          <cell r="G67">
            <v>398.23764</v>
          </cell>
          <cell r="H67">
            <v>1</v>
          </cell>
          <cell r="I67">
            <v>100</v>
          </cell>
          <cell r="J67">
            <v>410.35993000000002</v>
          </cell>
          <cell r="K67">
            <v>1</v>
          </cell>
          <cell r="L67">
            <v>100</v>
          </cell>
          <cell r="M67">
            <v>418.76882999999998</v>
          </cell>
          <cell r="N67">
            <v>1</v>
          </cell>
          <cell r="O67">
            <v>100</v>
          </cell>
          <cell r="P67">
            <v>423.16897</v>
          </cell>
          <cell r="Q67">
            <v>1</v>
          </cell>
          <cell r="R67">
            <v>100</v>
          </cell>
          <cell r="S67">
            <v>435.96940999999998</v>
          </cell>
          <cell r="T67">
            <v>1</v>
          </cell>
          <cell r="U67">
            <v>100</v>
          </cell>
          <cell r="V67">
            <v>444.45236999999997</v>
          </cell>
          <cell r="W67">
            <v>1</v>
          </cell>
          <cell r="X67">
            <v>100</v>
          </cell>
          <cell r="Y67">
            <v>456.99828000000002</v>
          </cell>
          <cell r="Z67">
            <v>1</v>
          </cell>
          <cell r="AA67">
            <v>100</v>
          </cell>
          <cell r="AB67">
            <v>454.67153000000002</v>
          </cell>
        </row>
        <row r="68">
          <cell r="A68" t="str">
            <v>NOK</v>
          </cell>
          <cell r="B68">
            <v>1</v>
          </cell>
          <cell r="C68">
            <v>100</v>
          </cell>
          <cell r="D68">
            <v>9.9384200000000007</v>
          </cell>
          <cell r="E68">
            <v>1</v>
          </cell>
          <cell r="F68">
            <v>100</v>
          </cell>
          <cell r="G68">
            <v>10.1327</v>
          </cell>
          <cell r="H68">
            <v>1</v>
          </cell>
          <cell r="I68">
            <v>100</v>
          </cell>
          <cell r="J68">
            <v>11.294309999999999</v>
          </cell>
          <cell r="K68">
            <v>1</v>
          </cell>
          <cell r="L68">
            <v>100</v>
          </cell>
          <cell r="M68">
            <v>11.336510000000001</v>
          </cell>
          <cell r="N68">
            <v>1</v>
          </cell>
          <cell r="O68">
            <v>100</v>
          </cell>
          <cell r="P68">
            <v>10.9862</v>
          </cell>
          <cell r="Q68">
            <v>1</v>
          </cell>
          <cell r="R68">
            <v>100</v>
          </cell>
          <cell r="S68">
            <v>10.729839999999999</v>
          </cell>
          <cell r="T68">
            <v>1</v>
          </cell>
          <cell r="U68">
            <v>100</v>
          </cell>
          <cell r="V68">
            <v>10.654450000000001</v>
          </cell>
          <cell r="W68">
            <v>1</v>
          </cell>
          <cell r="X68">
            <v>100</v>
          </cell>
          <cell r="Y68">
            <v>10.579750000000001</v>
          </cell>
          <cell r="Z68">
            <v>1</v>
          </cell>
          <cell r="AA68">
            <v>100</v>
          </cell>
          <cell r="AB68">
            <v>10.776910000000001</v>
          </cell>
        </row>
        <row r="69">
          <cell r="A69" t="str">
            <v>NZD</v>
          </cell>
          <cell r="B69">
            <v>1</v>
          </cell>
          <cell r="C69">
            <v>100</v>
          </cell>
          <cell r="D69">
            <v>1.6811</v>
          </cell>
          <cell r="E69">
            <v>1</v>
          </cell>
          <cell r="F69">
            <v>100</v>
          </cell>
          <cell r="G69">
            <v>1.70638</v>
          </cell>
          <cell r="H69">
            <v>1</v>
          </cell>
          <cell r="I69">
            <v>100</v>
          </cell>
          <cell r="J69">
            <v>1.82759</v>
          </cell>
          <cell r="K69">
            <v>1</v>
          </cell>
          <cell r="L69">
            <v>100</v>
          </cell>
          <cell r="M69">
            <v>1.81091</v>
          </cell>
          <cell r="N69">
            <v>1</v>
          </cell>
          <cell r="O69">
            <v>100</v>
          </cell>
          <cell r="P69">
            <v>1.78904</v>
          </cell>
          <cell r="Q69">
            <v>1</v>
          </cell>
          <cell r="R69">
            <v>100</v>
          </cell>
          <cell r="S69">
            <v>1.7473000000000001</v>
          </cell>
          <cell r="T69">
            <v>1</v>
          </cell>
          <cell r="U69">
            <v>100</v>
          </cell>
          <cell r="V69">
            <v>1.7405999999999999</v>
          </cell>
          <cell r="W69">
            <v>1</v>
          </cell>
          <cell r="X69">
            <v>100</v>
          </cell>
          <cell r="Y69">
            <v>1.79308</v>
          </cell>
          <cell r="Z69">
            <v>1</v>
          </cell>
          <cell r="AA69">
            <v>100</v>
          </cell>
          <cell r="AB69">
            <v>1.7680899999999999</v>
          </cell>
        </row>
        <row r="70">
          <cell r="A70" t="str">
            <v>OMR</v>
          </cell>
          <cell r="B70">
            <v>1</v>
          </cell>
          <cell r="C70">
            <v>1</v>
          </cell>
          <cell r="D70">
            <v>0.42726999999999998</v>
          </cell>
          <cell r="E70">
            <v>1</v>
          </cell>
          <cell r="F70">
            <v>1</v>
          </cell>
          <cell r="G70">
            <v>0.41993999999999998</v>
          </cell>
          <cell r="H70">
            <v>1</v>
          </cell>
          <cell r="I70">
            <v>1</v>
          </cell>
          <cell r="J70">
            <v>0.42516999999999999</v>
          </cell>
          <cell r="K70">
            <v>1</v>
          </cell>
          <cell r="L70">
            <v>1</v>
          </cell>
          <cell r="M70">
            <v>0.41858000000000001</v>
          </cell>
          <cell r="N70">
            <v>1</v>
          </cell>
          <cell r="O70">
            <v>1</v>
          </cell>
          <cell r="P70">
            <v>0.41993999999999998</v>
          </cell>
          <cell r="Q70">
            <v>1</v>
          </cell>
          <cell r="R70">
            <v>1</v>
          </cell>
          <cell r="S70">
            <v>0.43351000000000001</v>
          </cell>
          <cell r="T70">
            <v>1</v>
          </cell>
          <cell r="U70">
            <v>1</v>
          </cell>
          <cell r="V70">
            <v>0.44183</v>
          </cell>
          <cell r="W70">
            <v>1</v>
          </cell>
          <cell r="X70">
            <v>1</v>
          </cell>
          <cell r="Y70">
            <v>0.45543</v>
          </cell>
          <cell r="Z70">
            <v>1</v>
          </cell>
          <cell r="AA70">
            <v>1</v>
          </cell>
          <cell r="AB70">
            <v>0.45373000000000002</v>
          </cell>
        </row>
        <row r="71">
          <cell r="A71" t="str">
            <v>PAB</v>
          </cell>
          <cell r="B71">
            <v>1</v>
          </cell>
          <cell r="C71">
            <v>1</v>
          </cell>
          <cell r="D71">
            <v>1.1100399999999999</v>
          </cell>
          <cell r="E71">
            <v>1</v>
          </cell>
          <cell r="F71">
            <v>1</v>
          </cell>
          <cell r="G71">
            <v>1.0905</v>
          </cell>
          <cell r="H71">
            <v>1</v>
          </cell>
          <cell r="I71">
            <v>1</v>
          </cell>
          <cell r="J71">
            <v>1.1063400000000001</v>
          </cell>
          <cell r="K71">
            <v>1</v>
          </cell>
          <cell r="L71">
            <v>1</v>
          </cell>
          <cell r="M71">
            <v>1.08619</v>
          </cell>
          <cell r="N71">
            <v>1</v>
          </cell>
          <cell r="O71">
            <v>1</v>
          </cell>
          <cell r="P71">
            <v>1.0901799999999999</v>
          </cell>
          <cell r="Q71">
            <v>1</v>
          </cell>
          <cell r="R71">
            <v>1</v>
          </cell>
          <cell r="S71">
            <v>1.1254599999999999</v>
          </cell>
          <cell r="T71">
            <v>1</v>
          </cell>
          <cell r="U71">
            <v>1</v>
          </cell>
          <cell r="V71">
            <v>1.1463399999999999</v>
          </cell>
          <cell r="W71">
            <v>1</v>
          </cell>
          <cell r="X71">
            <v>1</v>
          </cell>
          <cell r="Y71">
            <v>1.1828099999999999</v>
          </cell>
          <cell r="Z71">
            <v>1</v>
          </cell>
          <cell r="AA71">
            <v>1</v>
          </cell>
          <cell r="AB71">
            <v>1.1792400000000001</v>
          </cell>
        </row>
        <row r="72">
          <cell r="A72" t="str">
            <v>PEN</v>
          </cell>
          <cell r="B72">
            <v>1</v>
          </cell>
          <cell r="C72">
            <v>100</v>
          </cell>
          <cell r="D72">
            <v>3.6930200000000002</v>
          </cell>
          <cell r="E72">
            <v>1</v>
          </cell>
          <cell r="F72">
            <v>100</v>
          </cell>
          <cell r="G72">
            <v>3.6985199999999998</v>
          </cell>
          <cell r="H72">
            <v>1</v>
          </cell>
          <cell r="I72">
            <v>100</v>
          </cell>
          <cell r="J72">
            <v>3.85643</v>
          </cell>
          <cell r="K72">
            <v>1</v>
          </cell>
          <cell r="L72">
            <v>100</v>
          </cell>
          <cell r="M72">
            <v>3.6917</v>
          </cell>
          <cell r="N72">
            <v>1</v>
          </cell>
          <cell r="O72">
            <v>100</v>
          </cell>
          <cell r="P72">
            <v>3.7272599999999998</v>
          </cell>
          <cell r="Q72">
            <v>1</v>
          </cell>
          <cell r="R72">
            <v>100</v>
          </cell>
          <cell r="S72">
            <v>3.9099900000000001</v>
          </cell>
          <cell r="T72">
            <v>1</v>
          </cell>
          <cell r="U72">
            <v>100</v>
          </cell>
          <cell r="V72">
            <v>4.0360399999999998</v>
          </cell>
          <cell r="W72">
            <v>1</v>
          </cell>
          <cell r="X72">
            <v>100</v>
          </cell>
          <cell r="Y72">
            <v>4.2168200000000002</v>
          </cell>
          <cell r="Z72">
            <v>1</v>
          </cell>
          <cell r="AA72">
            <v>100</v>
          </cell>
          <cell r="AB72">
            <v>4.18729</v>
          </cell>
        </row>
        <row r="73">
          <cell r="A73" t="str">
            <v>PGK</v>
          </cell>
          <cell r="B73">
            <v>1</v>
          </cell>
          <cell r="C73">
            <v>100</v>
          </cell>
          <cell r="D73">
            <v>3.7861699999999998</v>
          </cell>
          <cell r="E73">
            <v>1</v>
          </cell>
          <cell r="F73">
            <v>100</v>
          </cell>
          <cell r="G73">
            <v>3.7187800000000002</v>
          </cell>
          <cell r="H73">
            <v>1</v>
          </cell>
          <cell r="I73">
            <v>100</v>
          </cell>
          <cell r="J73">
            <v>3.7803900000000001</v>
          </cell>
          <cell r="K73">
            <v>1</v>
          </cell>
          <cell r="L73">
            <v>100</v>
          </cell>
          <cell r="M73">
            <v>3.7361300000000002</v>
          </cell>
          <cell r="N73">
            <v>1</v>
          </cell>
          <cell r="O73">
            <v>100</v>
          </cell>
          <cell r="P73">
            <v>3.7628699999999999</v>
          </cell>
          <cell r="Q73">
            <v>1</v>
          </cell>
          <cell r="R73">
            <v>100</v>
          </cell>
          <cell r="S73">
            <v>3.8987799999999999</v>
          </cell>
          <cell r="T73">
            <v>1</v>
          </cell>
          <cell r="U73">
            <v>100</v>
          </cell>
          <cell r="V73">
            <v>3.9851700000000001</v>
          </cell>
          <cell r="W73">
            <v>1</v>
          </cell>
          <cell r="X73">
            <v>100</v>
          </cell>
          <cell r="Y73">
            <v>4.1193499999999998</v>
          </cell>
          <cell r="Z73">
            <v>1</v>
          </cell>
          <cell r="AA73">
            <v>100</v>
          </cell>
          <cell r="AB73">
            <v>4.1102800000000004</v>
          </cell>
        </row>
        <row r="74">
          <cell r="A74" t="str">
            <v>PHP</v>
          </cell>
          <cell r="B74">
            <v>1</v>
          </cell>
          <cell r="C74">
            <v>100</v>
          </cell>
          <cell r="D74">
            <v>56.435949999999998</v>
          </cell>
          <cell r="E74">
            <v>1</v>
          </cell>
          <cell r="F74">
            <v>100</v>
          </cell>
          <cell r="G74">
            <v>55.369349999999997</v>
          </cell>
          <cell r="H74">
            <v>1</v>
          </cell>
          <cell r="I74">
            <v>100</v>
          </cell>
          <cell r="J74">
            <v>56.452640000000002</v>
          </cell>
          <cell r="K74">
            <v>1</v>
          </cell>
          <cell r="L74">
            <v>100</v>
          </cell>
          <cell r="M74">
            <v>55.065199999999997</v>
          </cell>
          <cell r="N74">
            <v>1</v>
          </cell>
          <cell r="O74">
            <v>100</v>
          </cell>
          <cell r="P74">
            <v>55.120699999999999</v>
          </cell>
          <cell r="Q74">
            <v>1</v>
          </cell>
          <cell r="R74">
            <v>100</v>
          </cell>
          <cell r="S74">
            <v>56.33323</v>
          </cell>
          <cell r="T74">
            <v>1</v>
          </cell>
          <cell r="U74">
            <v>100</v>
          </cell>
          <cell r="V74">
            <v>56.618569999999998</v>
          </cell>
          <cell r="W74">
            <v>1</v>
          </cell>
          <cell r="X74">
            <v>100</v>
          </cell>
          <cell r="Y74">
            <v>57.682139999999997</v>
          </cell>
          <cell r="Z74">
            <v>1</v>
          </cell>
          <cell r="AA74">
            <v>100</v>
          </cell>
          <cell r="AB74">
            <v>57.222639999999998</v>
          </cell>
        </row>
        <row r="75">
          <cell r="A75" t="str">
            <v>PKR</v>
          </cell>
          <cell r="B75">
            <v>1</v>
          </cell>
          <cell r="C75">
            <v>100</v>
          </cell>
          <cell r="D75">
            <v>171.73580999999999</v>
          </cell>
          <cell r="E75">
            <v>1</v>
          </cell>
          <cell r="F75">
            <v>100</v>
          </cell>
          <cell r="G75">
            <v>168.36957000000001</v>
          </cell>
          <cell r="H75">
            <v>1</v>
          </cell>
          <cell r="I75">
            <v>100</v>
          </cell>
          <cell r="J75">
            <v>175.5018</v>
          </cell>
          <cell r="K75">
            <v>1</v>
          </cell>
          <cell r="L75">
            <v>100</v>
          </cell>
          <cell r="M75">
            <v>178.50200000000001</v>
          </cell>
          <cell r="N75">
            <v>1</v>
          </cell>
          <cell r="O75">
            <v>100</v>
          </cell>
          <cell r="P75">
            <v>174.92294000000001</v>
          </cell>
          <cell r="Q75">
            <v>1</v>
          </cell>
          <cell r="R75">
            <v>100</v>
          </cell>
          <cell r="S75">
            <v>186.14084</v>
          </cell>
          <cell r="T75">
            <v>1</v>
          </cell>
          <cell r="U75">
            <v>100</v>
          </cell>
          <cell r="V75">
            <v>191.62961000000001</v>
          </cell>
          <cell r="W75">
            <v>1</v>
          </cell>
          <cell r="X75">
            <v>100</v>
          </cell>
          <cell r="Y75">
            <v>198.55901</v>
          </cell>
          <cell r="Z75">
            <v>1</v>
          </cell>
          <cell r="AA75">
            <v>100</v>
          </cell>
          <cell r="AB75">
            <v>195.631</v>
          </cell>
        </row>
        <row r="76">
          <cell r="A76" t="str">
            <v>PLN</v>
          </cell>
          <cell r="B76">
            <v>1</v>
          </cell>
          <cell r="C76">
            <v>100</v>
          </cell>
          <cell r="D76">
            <v>4.2507400000000004</v>
          </cell>
          <cell r="E76">
            <v>1</v>
          </cell>
          <cell r="F76">
            <v>100</v>
          </cell>
          <cell r="G76">
            <v>4.2765700000000004</v>
          </cell>
          <cell r="H76">
            <v>1</v>
          </cell>
          <cell r="I76">
            <v>100</v>
          </cell>
          <cell r="J76">
            <v>4.44062</v>
          </cell>
          <cell r="K76">
            <v>1</v>
          </cell>
          <cell r="L76">
            <v>100</v>
          </cell>
          <cell r="M76">
            <v>4.5437000000000003</v>
          </cell>
          <cell r="N76">
            <v>1</v>
          </cell>
          <cell r="O76">
            <v>100</v>
          </cell>
          <cell r="P76">
            <v>4.5251000000000001</v>
          </cell>
          <cell r="Q76">
            <v>1</v>
          </cell>
          <cell r="R76">
            <v>100</v>
          </cell>
          <cell r="S76">
            <v>4.4449800000000002</v>
          </cell>
          <cell r="T76">
            <v>1</v>
          </cell>
          <cell r="U76">
            <v>100</v>
          </cell>
          <cell r="V76">
            <v>4.4492799999999999</v>
          </cell>
          <cell r="W76">
            <v>1</v>
          </cell>
          <cell r="X76">
            <v>100</v>
          </cell>
          <cell r="Y76">
            <v>4.39954</v>
          </cell>
          <cell r="Z76">
            <v>1</v>
          </cell>
          <cell r="AA76">
            <v>100</v>
          </cell>
          <cell r="AB76">
            <v>4.4727499999999996</v>
          </cell>
        </row>
        <row r="77">
          <cell r="A77" t="str">
            <v>QAR</v>
          </cell>
          <cell r="B77">
            <v>1</v>
          </cell>
          <cell r="C77">
            <v>100</v>
          </cell>
          <cell r="D77">
            <v>4.0406000000000004</v>
          </cell>
          <cell r="E77">
            <v>1</v>
          </cell>
          <cell r="F77">
            <v>100</v>
          </cell>
          <cell r="G77">
            <v>3.9711099999999999</v>
          </cell>
          <cell r="H77">
            <v>1</v>
          </cell>
          <cell r="I77">
            <v>100</v>
          </cell>
          <cell r="J77">
            <v>4.0210800000000004</v>
          </cell>
          <cell r="K77">
            <v>1</v>
          </cell>
          <cell r="L77">
            <v>100</v>
          </cell>
          <cell r="M77">
            <v>3.9575200000000001</v>
          </cell>
          <cell r="N77">
            <v>1</v>
          </cell>
          <cell r="O77">
            <v>100</v>
          </cell>
          <cell r="P77">
            <v>3.9712000000000001</v>
          </cell>
          <cell r="Q77">
            <v>1</v>
          </cell>
          <cell r="R77">
            <v>100</v>
          </cell>
          <cell r="S77">
            <v>4.0998099999999997</v>
          </cell>
          <cell r="T77">
            <v>1</v>
          </cell>
          <cell r="U77">
            <v>100</v>
          </cell>
          <cell r="V77">
            <v>4.1789500000000004</v>
          </cell>
          <cell r="W77">
            <v>1</v>
          </cell>
          <cell r="X77">
            <v>100</v>
          </cell>
          <cell r="Y77">
            <v>4.3076299999999996</v>
          </cell>
          <cell r="Z77">
            <v>1</v>
          </cell>
          <cell r="AA77">
            <v>100</v>
          </cell>
          <cell r="AB77">
            <v>4.2911700000000002</v>
          </cell>
        </row>
        <row r="78">
          <cell r="A78" t="str">
            <v>RON</v>
          </cell>
          <cell r="B78">
            <v>1</v>
          </cell>
          <cell r="C78">
            <v>1</v>
          </cell>
          <cell r="D78">
            <v>4.7787899999999999</v>
          </cell>
          <cell r="E78">
            <v>1</v>
          </cell>
          <cell r="F78">
            <v>1</v>
          </cell>
          <cell r="G78">
            <v>4.7837199999999998</v>
          </cell>
          <cell r="H78">
            <v>1</v>
          </cell>
          <cell r="I78">
            <v>1</v>
          </cell>
          <cell r="J78">
            <v>4.8281499999999999</v>
          </cell>
          <cell r="K78">
            <v>1</v>
          </cell>
          <cell r="L78">
            <v>1</v>
          </cell>
          <cell r="M78">
            <v>4.8371399999999998</v>
          </cell>
          <cell r="N78">
            <v>1</v>
          </cell>
          <cell r="O78">
            <v>1</v>
          </cell>
          <cell r="P78">
            <v>4.8371199999999996</v>
          </cell>
          <cell r="Q78">
            <v>1</v>
          </cell>
          <cell r="R78">
            <v>1</v>
          </cell>
          <cell r="S78">
            <v>4.8391599999999997</v>
          </cell>
          <cell r="T78">
            <v>1</v>
          </cell>
          <cell r="U78">
            <v>1</v>
          </cell>
          <cell r="V78">
            <v>4.8383200000000004</v>
          </cell>
          <cell r="W78">
            <v>1</v>
          </cell>
          <cell r="X78">
            <v>1</v>
          </cell>
          <cell r="Y78">
            <v>4.8376099999999997</v>
          </cell>
          <cell r="Z78">
            <v>1</v>
          </cell>
          <cell r="AA78">
            <v>1</v>
          </cell>
          <cell r="AB78">
            <v>4.8602100000000004</v>
          </cell>
        </row>
        <row r="79">
          <cell r="A79" t="str">
            <v>RP</v>
          </cell>
          <cell r="B79">
            <v>1</v>
          </cell>
          <cell r="C79">
            <v>10000</v>
          </cell>
          <cell r="D79">
            <v>152.36076</v>
          </cell>
          <cell r="E79">
            <v>1</v>
          </cell>
          <cell r="F79">
            <v>10000</v>
          </cell>
          <cell r="G79">
            <v>150.32661999999999</v>
          </cell>
          <cell r="H79">
            <v>1</v>
          </cell>
          <cell r="I79">
            <v>10000</v>
          </cell>
          <cell r="J79">
            <v>168.51124999999999</v>
          </cell>
          <cell r="K79">
            <v>1</v>
          </cell>
          <cell r="L79">
            <v>10000</v>
          </cell>
          <cell r="M79">
            <v>171.78888000000001</v>
          </cell>
          <cell r="N79">
            <v>1</v>
          </cell>
          <cell r="O79">
            <v>10000</v>
          </cell>
          <cell r="P79">
            <v>161.98230000000001</v>
          </cell>
          <cell r="Q79">
            <v>1</v>
          </cell>
          <cell r="R79">
            <v>10000</v>
          </cell>
          <cell r="S79">
            <v>159.87119999999999</v>
          </cell>
          <cell r="T79">
            <v>1</v>
          </cell>
          <cell r="U79">
            <v>10000</v>
          </cell>
          <cell r="V79">
            <v>166.59275</v>
          </cell>
          <cell r="W79">
            <v>1</v>
          </cell>
          <cell r="X79">
            <v>10000</v>
          </cell>
          <cell r="Y79">
            <v>174.02529000000001</v>
          </cell>
          <cell r="Z79">
            <v>1</v>
          </cell>
          <cell r="AA79">
            <v>10000</v>
          </cell>
          <cell r="AB79">
            <v>174.91989000000001</v>
          </cell>
        </row>
        <row r="80">
          <cell r="A80" t="str">
            <v>RUB</v>
          </cell>
          <cell r="B80">
            <v>1</v>
          </cell>
          <cell r="C80">
            <v>100000</v>
          </cell>
          <cell r="D80">
            <v>687.69</v>
          </cell>
          <cell r="E80">
            <v>1</v>
          </cell>
          <cell r="F80">
            <v>100000</v>
          </cell>
          <cell r="G80">
            <v>699.10709999999995</v>
          </cell>
          <cell r="H80">
            <v>1</v>
          </cell>
          <cell r="I80">
            <v>100000</v>
          </cell>
          <cell r="J80">
            <v>824.26430000000005</v>
          </cell>
          <cell r="K80">
            <v>1</v>
          </cell>
          <cell r="L80">
            <v>100000</v>
          </cell>
          <cell r="M80">
            <v>817.45420000000001</v>
          </cell>
          <cell r="N80">
            <v>1</v>
          </cell>
          <cell r="O80">
            <v>100000</v>
          </cell>
          <cell r="P80">
            <v>792.33199999999999</v>
          </cell>
          <cell r="Q80">
            <v>1</v>
          </cell>
          <cell r="R80">
            <v>100000</v>
          </cell>
          <cell r="S80">
            <v>780.10339999999997</v>
          </cell>
          <cell r="T80">
            <v>1</v>
          </cell>
          <cell r="U80">
            <v>100000</v>
          </cell>
          <cell r="V80">
            <v>820.17129999999997</v>
          </cell>
          <cell r="W80">
            <v>1</v>
          </cell>
          <cell r="X80">
            <v>100000</v>
          </cell>
          <cell r="Y80">
            <v>873.51980000000003</v>
          </cell>
          <cell r="Z80">
            <v>1</v>
          </cell>
          <cell r="AA80">
            <v>100000</v>
          </cell>
          <cell r="AB80">
            <v>895.99670000000003</v>
          </cell>
        </row>
        <row r="81">
          <cell r="A81" t="str">
            <v>RUN</v>
          </cell>
          <cell r="B81">
            <v>1</v>
          </cell>
          <cell r="C81">
            <v>100</v>
          </cell>
          <cell r="D81">
            <v>68.769000000000005</v>
          </cell>
          <cell r="E81">
            <v>1</v>
          </cell>
          <cell r="F81">
            <v>100</v>
          </cell>
          <cell r="G81">
            <v>69.910709999999995</v>
          </cell>
          <cell r="H81">
            <v>1</v>
          </cell>
          <cell r="I81">
            <v>100</v>
          </cell>
          <cell r="J81">
            <v>82.426429999999996</v>
          </cell>
          <cell r="K81">
            <v>1</v>
          </cell>
          <cell r="L81">
            <v>100</v>
          </cell>
          <cell r="M81">
            <v>81.745419999999996</v>
          </cell>
          <cell r="N81">
            <v>1</v>
          </cell>
          <cell r="O81">
            <v>100</v>
          </cell>
          <cell r="P81">
            <v>79.233199999999997</v>
          </cell>
          <cell r="Q81">
            <v>1</v>
          </cell>
          <cell r="R81">
            <v>100</v>
          </cell>
          <cell r="S81">
            <v>78.010339999999999</v>
          </cell>
          <cell r="T81">
            <v>1</v>
          </cell>
          <cell r="U81">
            <v>100</v>
          </cell>
          <cell r="V81">
            <v>82.017129999999995</v>
          </cell>
          <cell r="W81">
            <v>1</v>
          </cell>
          <cell r="X81">
            <v>100</v>
          </cell>
          <cell r="Y81">
            <v>87.351979999999998</v>
          </cell>
          <cell r="Z81">
            <v>1</v>
          </cell>
          <cell r="AA81">
            <v>100</v>
          </cell>
          <cell r="AB81">
            <v>89.599670000000003</v>
          </cell>
        </row>
        <row r="82">
          <cell r="A82" t="str">
            <v>RUR</v>
          </cell>
          <cell r="B82">
            <v>1</v>
          </cell>
          <cell r="C82">
            <v>100000</v>
          </cell>
          <cell r="D82">
            <v>687.69</v>
          </cell>
          <cell r="E82">
            <v>1</v>
          </cell>
          <cell r="F82">
            <v>100000</v>
          </cell>
          <cell r="G82">
            <v>699.10709999999995</v>
          </cell>
          <cell r="H82">
            <v>1</v>
          </cell>
          <cell r="I82">
            <v>100000</v>
          </cell>
          <cell r="J82">
            <v>824.26430000000005</v>
          </cell>
          <cell r="K82">
            <v>1</v>
          </cell>
          <cell r="L82">
            <v>100000</v>
          </cell>
          <cell r="M82">
            <v>817.45420000000001</v>
          </cell>
          <cell r="N82">
            <v>1</v>
          </cell>
          <cell r="O82">
            <v>100000</v>
          </cell>
          <cell r="P82">
            <v>792.33199999999999</v>
          </cell>
          <cell r="Q82">
            <v>1</v>
          </cell>
          <cell r="R82">
            <v>100000</v>
          </cell>
          <cell r="S82">
            <v>780.10339999999997</v>
          </cell>
          <cell r="T82">
            <v>1</v>
          </cell>
          <cell r="U82">
            <v>100000</v>
          </cell>
          <cell r="V82">
            <v>820.17129999999997</v>
          </cell>
          <cell r="W82">
            <v>1</v>
          </cell>
          <cell r="X82">
            <v>100000</v>
          </cell>
          <cell r="Y82">
            <v>873.51980000000003</v>
          </cell>
          <cell r="Z82">
            <v>1</v>
          </cell>
          <cell r="AA82">
            <v>100000</v>
          </cell>
          <cell r="AB82">
            <v>895.99670000000003</v>
          </cell>
        </row>
        <row r="83">
          <cell r="A83" t="str">
            <v>SAR</v>
          </cell>
          <cell r="B83">
            <v>1</v>
          </cell>
          <cell r="C83">
            <v>100</v>
          </cell>
          <cell r="D83">
            <v>4.1630399999999996</v>
          </cell>
          <cell r="E83">
            <v>1</v>
          </cell>
          <cell r="F83">
            <v>100</v>
          </cell>
          <cell r="G83">
            <v>4.0911499999999998</v>
          </cell>
          <cell r="H83">
            <v>1</v>
          </cell>
          <cell r="I83">
            <v>100</v>
          </cell>
          <cell r="J83">
            <v>4.1460100000000004</v>
          </cell>
          <cell r="K83">
            <v>1</v>
          </cell>
          <cell r="L83">
            <v>100</v>
          </cell>
          <cell r="M83">
            <v>4.0841099999999999</v>
          </cell>
          <cell r="N83">
            <v>1</v>
          </cell>
          <cell r="O83">
            <v>100</v>
          </cell>
          <cell r="P83">
            <v>4.0971799999999998</v>
          </cell>
          <cell r="Q83">
            <v>1</v>
          </cell>
          <cell r="R83">
            <v>100</v>
          </cell>
          <cell r="S83">
            <v>4.2252400000000003</v>
          </cell>
          <cell r="T83">
            <v>1</v>
          </cell>
          <cell r="U83">
            <v>100</v>
          </cell>
          <cell r="V83">
            <v>4.3044200000000004</v>
          </cell>
          <cell r="W83">
            <v>1</v>
          </cell>
          <cell r="X83">
            <v>100</v>
          </cell>
          <cell r="Y83">
            <v>4.4366000000000003</v>
          </cell>
          <cell r="Z83">
            <v>1</v>
          </cell>
          <cell r="AA83">
            <v>100</v>
          </cell>
          <cell r="AB83">
            <v>4.4203099999999997</v>
          </cell>
        </row>
        <row r="84">
          <cell r="A84" t="str">
            <v>SEK</v>
          </cell>
          <cell r="B84">
            <v>1</v>
          </cell>
          <cell r="C84">
            <v>100</v>
          </cell>
          <cell r="D84">
            <v>10.554410000000001</v>
          </cell>
          <cell r="E84">
            <v>1</v>
          </cell>
          <cell r="F84">
            <v>100</v>
          </cell>
          <cell r="G84">
            <v>10.5679</v>
          </cell>
          <cell r="H84">
            <v>1</v>
          </cell>
          <cell r="I84">
            <v>100</v>
          </cell>
          <cell r="J84">
            <v>10.87506</v>
          </cell>
          <cell r="K84">
            <v>1</v>
          </cell>
          <cell r="L84">
            <v>100</v>
          </cell>
          <cell r="M84">
            <v>10.884460000000001</v>
          </cell>
          <cell r="N84">
            <v>1</v>
          </cell>
          <cell r="O84">
            <v>100</v>
          </cell>
          <cell r="P84">
            <v>10.59704</v>
          </cell>
          <cell r="Q84">
            <v>1</v>
          </cell>
          <cell r="R84">
            <v>100</v>
          </cell>
          <cell r="S84">
            <v>10.486890000000001</v>
          </cell>
          <cell r="T84">
            <v>1</v>
          </cell>
          <cell r="U84">
            <v>100</v>
          </cell>
          <cell r="V84">
            <v>10.35383</v>
          </cell>
          <cell r="W84">
            <v>1</v>
          </cell>
          <cell r="X84">
            <v>100</v>
          </cell>
          <cell r="Y84">
            <v>10.30874</v>
          </cell>
          <cell r="Z84">
            <v>1</v>
          </cell>
          <cell r="AA84">
            <v>100</v>
          </cell>
          <cell r="AB84">
            <v>10.427849999999999</v>
          </cell>
        </row>
        <row r="85">
          <cell r="A85" t="str">
            <v>SGD</v>
          </cell>
          <cell r="B85">
            <v>1</v>
          </cell>
          <cell r="C85">
            <v>100</v>
          </cell>
          <cell r="D85">
            <v>1.50031</v>
          </cell>
          <cell r="E85">
            <v>1</v>
          </cell>
          <cell r="F85">
            <v>100</v>
          </cell>
          <cell r="G85">
            <v>1.5156799999999999</v>
          </cell>
          <cell r="H85">
            <v>1</v>
          </cell>
          <cell r="I85">
            <v>100</v>
          </cell>
          <cell r="J85">
            <v>1.5671200000000001</v>
          </cell>
          <cell r="K85">
            <v>1</v>
          </cell>
          <cell r="L85">
            <v>100</v>
          </cell>
          <cell r="M85">
            <v>1.54739</v>
          </cell>
          <cell r="N85">
            <v>1</v>
          </cell>
          <cell r="O85">
            <v>100</v>
          </cell>
          <cell r="P85">
            <v>1.54606</v>
          </cell>
          <cell r="Q85">
            <v>1</v>
          </cell>
          <cell r="R85">
            <v>100</v>
          </cell>
          <cell r="S85">
            <v>1.5685899999999999</v>
          </cell>
          <cell r="T85">
            <v>1</v>
          </cell>
          <cell r="U85">
            <v>100</v>
          </cell>
          <cell r="V85">
            <v>1.5906400000000001</v>
          </cell>
          <cell r="W85">
            <v>1</v>
          </cell>
          <cell r="X85">
            <v>100</v>
          </cell>
          <cell r="Y85">
            <v>1.61954</v>
          </cell>
          <cell r="Z85">
            <v>1</v>
          </cell>
          <cell r="AA85">
            <v>100</v>
          </cell>
          <cell r="AB85">
            <v>1.6104000000000001</v>
          </cell>
        </row>
        <row r="86">
          <cell r="A86" t="str">
            <v>SVC</v>
          </cell>
          <cell r="B86">
            <v>1</v>
          </cell>
          <cell r="C86">
            <v>100</v>
          </cell>
          <cell r="D86">
            <v>9.7097700000000007</v>
          </cell>
          <cell r="E86">
            <v>1</v>
          </cell>
          <cell r="F86">
            <v>100</v>
          </cell>
          <cell r="G86">
            <v>9.5430700000000002</v>
          </cell>
          <cell r="H86">
            <v>1</v>
          </cell>
          <cell r="I86">
            <v>100</v>
          </cell>
          <cell r="J86">
            <v>9.6627100000000006</v>
          </cell>
          <cell r="K86">
            <v>1</v>
          </cell>
          <cell r="L86">
            <v>100</v>
          </cell>
          <cell r="M86">
            <v>9.5106999999999999</v>
          </cell>
          <cell r="N86">
            <v>1</v>
          </cell>
          <cell r="O86">
            <v>100</v>
          </cell>
          <cell r="P86">
            <v>9.5434699999999992</v>
          </cell>
          <cell r="Q86">
            <v>1</v>
          </cell>
          <cell r="R86">
            <v>100</v>
          </cell>
          <cell r="S86">
            <v>9.8525299999999998</v>
          </cell>
          <cell r="T86">
            <v>1</v>
          </cell>
          <cell r="U86">
            <v>100</v>
          </cell>
          <cell r="V86">
            <v>10.041700000000001</v>
          </cell>
          <cell r="W86">
            <v>1</v>
          </cell>
          <cell r="X86">
            <v>100</v>
          </cell>
          <cell r="Y86">
            <v>10.35093</v>
          </cell>
          <cell r="Z86">
            <v>1</v>
          </cell>
          <cell r="AA86">
            <v>100</v>
          </cell>
          <cell r="AB86">
            <v>10.31193</v>
          </cell>
        </row>
        <row r="87">
          <cell r="A87" t="str">
            <v>THB</v>
          </cell>
          <cell r="B87">
            <v>1</v>
          </cell>
          <cell r="C87">
            <v>100</v>
          </cell>
          <cell r="D87">
            <v>33.814450000000001</v>
          </cell>
          <cell r="E87">
            <v>1</v>
          </cell>
          <cell r="F87">
            <v>100</v>
          </cell>
          <cell r="G87">
            <v>34.1629</v>
          </cell>
          <cell r="H87">
            <v>1</v>
          </cell>
          <cell r="I87">
            <v>100</v>
          </cell>
          <cell r="J87">
            <v>35.499180000000003</v>
          </cell>
          <cell r="K87">
            <v>1</v>
          </cell>
          <cell r="L87">
            <v>100</v>
          </cell>
          <cell r="M87">
            <v>35.445500000000003</v>
          </cell>
          <cell r="N87">
            <v>1</v>
          </cell>
          <cell r="O87">
            <v>100</v>
          </cell>
          <cell r="P87">
            <v>34.9527</v>
          </cell>
          <cell r="Q87">
            <v>1</v>
          </cell>
          <cell r="R87">
            <v>100</v>
          </cell>
          <cell r="S87">
            <v>35.076999999999998</v>
          </cell>
          <cell r="T87">
            <v>1</v>
          </cell>
          <cell r="U87">
            <v>100</v>
          </cell>
          <cell r="V87">
            <v>36.013739999999999</v>
          </cell>
          <cell r="W87">
            <v>1</v>
          </cell>
          <cell r="X87">
            <v>100</v>
          </cell>
          <cell r="Y87">
            <v>36.910899999999998</v>
          </cell>
          <cell r="Z87">
            <v>1</v>
          </cell>
          <cell r="AA87">
            <v>100</v>
          </cell>
          <cell r="AB87">
            <v>36.99709</v>
          </cell>
        </row>
        <row r="88">
          <cell r="A88" t="str">
            <v>TND</v>
          </cell>
          <cell r="B88">
            <v>1</v>
          </cell>
          <cell r="C88">
            <v>1</v>
          </cell>
          <cell r="D88">
            <v>3.1238800000000002</v>
          </cell>
          <cell r="E88">
            <v>1</v>
          </cell>
          <cell r="F88">
            <v>1</v>
          </cell>
          <cell r="G88">
            <v>3.1143700000000001</v>
          </cell>
          <cell r="H88">
            <v>1</v>
          </cell>
          <cell r="I88">
            <v>1</v>
          </cell>
          <cell r="J88">
            <v>3.1610399999999998</v>
          </cell>
          <cell r="K88">
            <v>1</v>
          </cell>
          <cell r="L88">
            <v>1</v>
          </cell>
          <cell r="M88">
            <v>3.1510699999999998</v>
          </cell>
          <cell r="N88">
            <v>1</v>
          </cell>
          <cell r="O88">
            <v>1</v>
          </cell>
          <cell r="P88">
            <v>3.15781</v>
          </cell>
          <cell r="Q88">
            <v>1</v>
          </cell>
          <cell r="R88">
            <v>1</v>
          </cell>
          <cell r="S88">
            <v>3.20865</v>
          </cell>
          <cell r="T88">
            <v>1</v>
          </cell>
          <cell r="U88">
            <v>1</v>
          </cell>
          <cell r="V88">
            <v>3.2231800000000002</v>
          </cell>
          <cell r="W88">
            <v>1</v>
          </cell>
          <cell r="X88">
            <v>1</v>
          </cell>
          <cell r="Y88">
            <v>3.2418200000000001</v>
          </cell>
          <cell r="Z88">
            <v>1</v>
          </cell>
          <cell r="AA88">
            <v>1</v>
          </cell>
          <cell r="AB88">
            <v>3.2422499999999999</v>
          </cell>
        </row>
        <row r="89">
          <cell r="A89" t="str">
            <v>TRY</v>
          </cell>
          <cell r="B89">
            <v>1</v>
          </cell>
          <cell r="C89">
            <v>1</v>
          </cell>
          <cell r="D89">
            <v>6.5808099999999996</v>
          </cell>
          <cell r="E89">
            <v>1</v>
          </cell>
          <cell r="F89">
            <v>1</v>
          </cell>
          <cell r="G89">
            <v>6.6194899999999999</v>
          </cell>
          <cell r="H89">
            <v>1</v>
          </cell>
          <cell r="I89">
            <v>1</v>
          </cell>
          <cell r="J89">
            <v>7.0170000000000003</v>
          </cell>
          <cell r="K89">
            <v>1</v>
          </cell>
          <cell r="L89">
            <v>1</v>
          </cell>
          <cell r="M89">
            <v>7.4617100000000001</v>
          </cell>
          <cell r="N89">
            <v>1</v>
          </cell>
          <cell r="O89">
            <v>1</v>
          </cell>
          <cell r="P89">
            <v>7.5526799999999996</v>
          </cell>
          <cell r="Q89">
            <v>1</v>
          </cell>
          <cell r="R89">
            <v>1</v>
          </cell>
          <cell r="S89">
            <v>7.6806999999999999</v>
          </cell>
          <cell r="T89">
            <v>1</v>
          </cell>
          <cell r="U89">
            <v>1</v>
          </cell>
          <cell r="V89">
            <v>7.88429</v>
          </cell>
          <cell r="W89">
            <v>1</v>
          </cell>
          <cell r="X89">
            <v>1</v>
          </cell>
          <cell r="Y89">
            <v>8.6143900000000002</v>
          </cell>
          <cell r="Z89">
            <v>1</v>
          </cell>
          <cell r="AA89">
            <v>1</v>
          </cell>
          <cell r="AB89">
            <v>8.9083699999999997</v>
          </cell>
        </row>
        <row r="90">
          <cell r="A90" t="str">
            <v>TTD</v>
          </cell>
          <cell r="B90">
            <v>1</v>
          </cell>
          <cell r="C90">
            <v>1</v>
          </cell>
          <cell r="D90">
            <v>7.4968500000000002</v>
          </cell>
          <cell r="E90">
            <v>1</v>
          </cell>
          <cell r="F90">
            <v>1</v>
          </cell>
          <cell r="G90">
            <v>7.3630100000000001</v>
          </cell>
          <cell r="H90">
            <v>1</v>
          </cell>
          <cell r="I90">
            <v>1</v>
          </cell>
          <cell r="J90">
            <v>7.4599700000000002</v>
          </cell>
          <cell r="K90">
            <v>1</v>
          </cell>
          <cell r="L90">
            <v>1</v>
          </cell>
          <cell r="M90">
            <v>7.3338299999999998</v>
          </cell>
          <cell r="N90">
            <v>1</v>
          </cell>
          <cell r="O90">
            <v>1</v>
          </cell>
          <cell r="P90">
            <v>7.3617299999999997</v>
          </cell>
          <cell r="Q90">
            <v>1</v>
          </cell>
          <cell r="R90">
            <v>1</v>
          </cell>
          <cell r="S90">
            <v>7.6055299999999999</v>
          </cell>
          <cell r="T90">
            <v>1</v>
          </cell>
          <cell r="U90">
            <v>1</v>
          </cell>
          <cell r="V90">
            <v>7.7461799999999998</v>
          </cell>
          <cell r="W90">
            <v>1</v>
          </cell>
          <cell r="X90">
            <v>1</v>
          </cell>
          <cell r="Y90">
            <v>7.9812399999999997</v>
          </cell>
          <cell r="Z90">
            <v>1</v>
          </cell>
          <cell r="AA90">
            <v>1</v>
          </cell>
          <cell r="AB90">
            <v>7.9501600000000003</v>
          </cell>
        </row>
        <row r="91">
          <cell r="A91" t="str">
            <v>TWD</v>
          </cell>
          <cell r="B91">
            <v>1</v>
          </cell>
          <cell r="C91">
            <v>100</v>
          </cell>
          <cell r="D91">
            <v>33.295090000000002</v>
          </cell>
          <cell r="E91">
            <v>1</v>
          </cell>
          <cell r="F91">
            <v>100</v>
          </cell>
          <cell r="G91">
            <v>32.89564</v>
          </cell>
          <cell r="H91">
            <v>1</v>
          </cell>
          <cell r="I91">
            <v>100</v>
          </cell>
          <cell r="J91">
            <v>33.313470000000002</v>
          </cell>
          <cell r="K91">
            <v>1</v>
          </cell>
          <cell r="L91">
            <v>100</v>
          </cell>
          <cell r="M91">
            <v>32.685250000000003</v>
          </cell>
          <cell r="N91">
            <v>1</v>
          </cell>
          <cell r="O91">
            <v>100</v>
          </cell>
          <cell r="P91">
            <v>32.63017</v>
          </cell>
          <cell r="Q91">
            <v>1</v>
          </cell>
          <cell r="R91">
            <v>100</v>
          </cell>
          <cell r="S91">
            <v>33.409579999999998</v>
          </cell>
          <cell r="T91">
            <v>1</v>
          </cell>
          <cell r="U91">
            <v>100</v>
          </cell>
          <cell r="V91">
            <v>33.761629999999997</v>
          </cell>
          <cell r="W91">
            <v>1</v>
          </cell>
          <cell r="X91">
            <v>100</v>
          </cell>
          <cell r="Y91">
            <v>34.7547</v>
          </cell>
          <cell r="Z91">
            <v>1</v>
          </cell>
          <cell r="AA91">
            <v>100</v>
          </cell>
          <cell r="AB91">
            <v>34.39611</v>
          </cell>
        </row>
        <row r="92">
          <cell r="A92" t="str">
            <v>TZS</v>
          </cell>
          <cell r="B92">
            <v>1</v>
          </cell>
          <cell r="C92">
            <v>1000</v>
          </cell>
          <cell r="D92">
            <v>2557.0061700000001</v>
          </cell>
          <cell r="E92">
            <v>1</v>
          </cell>
          <cell r="F92">
            <v>1000</v>
          </cell>
          <cell r="G92">
            <v>2517.6138500000002</v>
          </cell>
          <cell r="H92">
            <v>1</v>
          </cell>
          <cell r="I92">
            <v>1000</v>
          </cell>
          <cell r="J92">
            <v>2546.1094499999999</v>
          </cell>
          <cell r="K92">
            <v>1</v>
          </cell>
          <cell r="L92">
            <v>1000</v>
          </cell>
          <cell r="M92">
            <v>2515.2729399999998</v>
          </cell>
          <cell r="N92">
            <v>1</v>
          </cell>
          <cell r="O92">
            <v>1000</v>
          </cell>
          <cell r="P92">
            <v>2524.3299400000001</v>
          </cell>
          <cell r="Q92">
            <v>1</v>
          </cell>
          <cell r="R92">
            <v>1000</v>
          </cell>
          <cell r="S92">
            <v>2606.7470199999998</v>
          </cell>
          <cell r="T92">
            <v>1</v>
          </cell>
          <cell r="U92">
            <v>1000</v>
          </cell>
          <cell r="V92">
            <v>2662.7336799999998</v>
          </cell>
          <cell r="W92">
            <v>1</v>
          </cell>
          <cell r="X92">
            <v>1000</v>
          </cell>
          <cell r="Y92">
            <v>2747.7920800000002</v>
          </cell>
          <cell r="Z92">
            <v>1</v>
          </cell>
          <cell r="AA92">
            <v>1000</v>
          </cell>
          <cell r="AB92">
            <v>2734.1311999999998</v>
          </cell>
        </row>
        <row r="93">
          <cell r="A93" t="str">
            <v>UAH</v>
          </cell>
          <cell r="B93">
            <v>1</v>
          </cell>
          <cell r="C93">
            <v>100</v>
          </cell>
          <cell r="D93">
            <v>26.90859</v>
          </cell>
          <cell r="E93">
            <v>1</v>
          </cell>
          <cell r="F93">
            <v>100</v>
          </cell>
          <cell r="G93">
            <v>26.784330000000001</v>
          </cell>
          <cell r="H93">
            <v>1</v>
          </cell>
          <cell r="I93">
            <v>100</v>
          </cell>
          <cell r="J93">
            <v>29.374300000000002</v>
          </cell>
          <cell r="K93">
            <v>1</v>
          </cell>
          <cell r="L93">
            <v>100</v>
          </cell>
          <cell r="M93">
            <v>29.53837</v>
          </cell>
          <cell r="N93">
            <v>1</v>
          </cell>
          <cell r="O93">
            <v>100</v>
          </cell>
          <cell r="P93">
            <v>29.237639999999999</v>
          </cell>
          <cell r="Q93">
            <v>1</v>
          </cell>
          <cell r="R93">
            <v>100</v>
          </cell>
          <cell r="S93">
            <v>30.066960000000002</v>
          </cell>
          <cell r="T93">
            <v>1</v>
          </cell>
          <cell r="U93">
            <v>100</v>
          </cell>
          <cell r="V93">
            <v>31.430510000000002</v>
          </cell>
          <cell r="W93">
            <v>1</v>
          </cell>
          <cell r="X93">
            <v>100</v>
          </cell>
          <cell r="Y93">
            <v>32.54121</v>
          </cell>
          <cell r="Z93">
            <v>1</v>
          </cell>
          <cell r="AA93">
            <v>100</v>
          </cell>
          <cell r="AB93">
            <v>33.015520000000002</v>
          </cell>
        </row>
        <row r="94">
          <cell r="A94" t="str">
            <v>UGX</v>
          </cell>
          <cell r="B94">
            <v>1</v>
          </cell>
          <cell r="C94">
            <v>1000</v>
          </cell>
          <cell r="D94">
            <v>4084.7180600000002</v>
          </cell>
          <cell r="E94">
            <v>1</v>
          </cell>
          <cell r="F94">
            <v>1000</v>
          </cell>
          <cell r="G94">
            <v>4009.1135800000002</v>
          </cell>
          <cell r="H94">
            <v>1</v>
          </cell>
          <cell r="I94">
            <v>1000</v>
          </cell>
          <cell r="J94">
            <v>4166.68815</v>
          </cell>
          <cell r="K94">
            <v>1</v>
          </cell>
          <cell r="L94">
            <v>1000</v>
          </cell>
          <cell r="M94">
            <v>4114.1993000000002</v>
          </cell>
          <cell r="N94">
            <v>1</v>
          </cell>
          <cell r="O94">
            <v>1000</v>
          </cell>
          <cell r="P94">
            <v>4135.3774299999995</v>
          </cell>
          <cell r="Q94">
            <v>1</v>
          </cell>
          <cell r="R94">
            <v>1000</v>
          </cell>
          <cell r="S94">
            <v>4207.80224</v>
          </cell>
          <cell r="T94">
            <v>1</v>
          </cell>
          <cell r="U94">
            <v>1000</v>
          </cell>
          <cell r="V94">
            <v>4247.2009099999996</v>
          </cell>
          <cell r="W94">
            <v>1</v>
          </cell>
          <cell r="X94">
            <v>1000</v>
          </cell>
          <cell r="Y94">
            <v>4348.7528599999996</v>
          </cell>
          <cell r="Z94">
            <v>1</v>
          </cell>
          <cell r="AA94">
            <v>1000</v>
          </cell>
          <cell r="AB94">
            <v>4354.9718899999998</v>
          </cell>
        </row>
        <row r="95">
          <cell r="A95" t="str">
            <v>USD</v>
          </cell>
          <cell r="B95">
            <v>1</v>
          </cell>
          <cell r="C95">
            <v>100</v>
          </cell>
          <cell r="D95">
            <v>1.1100399999999999</v>
          </cell>
          <cell r="E95">
            <v>1</v>
          </cell>
          <cell r="F95">
            <v>100</v>
          </cell>
          <cell r="G95">
            <v>1.0905</v>
          </cell>
          <cell r="H95">
            <v>1</v>
          </cell>
          <cell r="I95">
            <v>100</v>
          </cell>
          <cell r="J95">
            <v>1.1063400000000001</v>
          </cell>
          <cell r="K95">
            <v>1</v>
          </cell>
          <cell r="L95">
            <v>100</v>
          </cell>
          <cell r="M95">
            <v>1.08619</v>
          </cell>
          <cell r="N95">
            <v>1</v>
          </cell>
          <cell r="O95">
            <v>100</v>
          </cell>
          <cell r="P95">
            <v>1.0901799999999999</v>
          </cell>
          <cell r="Q95">
            <v>1</v>
          </cell>
          <cell r="R95">
            <v>100</v>
          </cell>
          <cell r="S95">
            <v>1.1254599999999999</v>
          </cell>
          <cell r="T95">
            <v>1</v>
          </cell>
          <cell r="U95">
            <v>100</v>
          </cell>
          <cell r="V95">
            <v>1.1463399999999999</v>
          </cell>
          <cell r="W95">
            <v>1</v>
          </cell>
          <cell r="X95">
            <v>100</v>
          </cell>
          <cell r="Y95">
            <v>1.1828099999999999</v>
          </cell>
          <cell r="Z95">
            <v>1</v>
          </cell>
          <cell r="AA95">
            <v>100</v>
          </cell>
          <cell r="AB95">
            <v>1.1792400000000001</v>
          </cell>
        </row>
        <row r="96">
          <cell r="A96" t="str">
            <v>VND</v>
          </cell>
          <cell r="B96">
            <v>1</v>
          </cell>
          <cell r="C96">
            <v>1000</v>
          </cell>
          <cell r="D96">
            <v>2571.7284800000002</v>
          </cell>
          <cell r="E96">
            <v>1</v>
          </cell>
          <cell r="F96">
            <v>1000</v>
          </cell>
          <cell r="G96">
            <v>2534.9244399999998</v>
          </cell>
          <cell r="H96">
            <v>1</v>
          </cell>
          <cell r="I96">
            <v>1000</v>
          </cell>
          <cell r="J96">
            <v>2579.1421500000001</v>
          </cell>
          <cell r="K96">
            <v>1</v>
          </cell>
          <cell r="L96">
            <v>1000</v>
          </cell>
          <cell r="M96">
            <v>2551.9210400000002</v>
          </cell>
          <cell r="N96">
            <v>1</v>
          </cell>
          <cell r="O96">
            <v>1000</v>
          </cell>
          <cell r="P96">
            <v>2546.2619599999998</v>
          </cell>
          <cell r="Q96">
            <v>1</v>
          </cell>
          <cell r="R96">
            <v>1000</v>
          </cell>
          <cell r="S96">
            <v>2615.0762800000002</v>
          </cell>
          <cell r="T96">
            <v>1</v>
          </cell>
          <cell r="U96">
            <v>1000</v>
          </cell>
          <cell r="V96">
            <v>2660.86879</v>
          </cell>
          <cell r="W96">
            <v>1</v>
          </cell>
          <cell r="X96">
            <v>1000</v>
          </cell>
          <cell r="Y96">
            <v>2741.5337</v>
          </cell>
          <cell r="Z96">
            <v>1</v>
          </cell>
          <cell r="AA96">
            <v>1000</v>
          </cell>
          <cell r="AB96">
            <v>2731.7456999999999</v>
          </cell>
        </row>
        <row r="97">
          <cell r="A97" t="str">
            <v>WON</v>
          </cell>
          <cell r="B97">
            <v>1</v>
          </cell>
          <cell r="C97">
            <v>10000</v>
          </cell>
          <cell r="D97">
            <v>12.9612</v>
          </cell>
          <cell r="E97">
            <v>1</v>
          </cell>
          <cell r="F97">
            <v>10000</v>
          </cell>
          <cell r="G97">
            <v>13.03581</v>
          </cell>
          <cell r="H97">
            <v>1</v>
          </cell>
          <cell r="I97">
            <v>10000</v>
          </cell>
          <cell r="J97">
            <v>13.47988</v>
          </cell>
          <cell r="K97">
            <v>1</v>
          </cell>
          <cell r="L97">
            <v>10000</v>
          </cell>
          <cell r="M97">
            <v>13.28889</v>
          </cell>
          <cell r="N97">
            <v>1</v>
          </cell>
          <cell r="O97">
            <v>10000</v>
          </cell>
          <cell r="P97">
            <v>13.404389999999999</v>
          </cell>
          <cell r="Q97">
            <v>1</v>
          </cell>
          <cell r="R97">
            <v>10000</v>
          </cell>
          <cell r="S97">
            <v>13.5875</v>
          </cell>
          <cell r="T97">
            <v>1</v>
          </cell>
          <cell r="U97">
            <v>10000</v>
          </cell>
          <cell r="V97">
            <v>13.741619999999999</v>
          </cell>
          <cell r="W97">
            <v>1</v>
          </cell>
          <cell r="X97">
            <v>10000</v>
          </cell>
          <cell r="Y97">
            <v>14.03436</v>
          </cell>
          <cell r="Z97">
            <v>1</v>
          </cell>
          <cell r="AA97">
            <v>10000</v>
          </cell>
          <cell r="AB97">
            <v>13.88679</v>
          </cell>
        </row>
        <row r="98">
          <cell r="A98" t="str">
            <v>ZAR</v>
          </cell>
          <cell r="B98">
            <v>1</v>
          </cell>
          <cell r="C98">
            <v>100</v>
          </cell>
          <cell r="D98">
            <v>16.009080000000001</v>
          </cell>
          <cell r="E98">
            <v>1</v>
          </cell>
          <cell r="F98">
            <v>100</v>
          </cell>
          <cell r="G98">
            <v>16.364000000000001</v>
          </cell>
          <cell r="H98">
            <v>1</v>
          </cell>
          <cell r="I98">
            <v>100</v>
          </cell>
          <cell r="J98">
            <v>18.417549999999999</v>
          </cell>
          <cell r="K98">
            <v>1</v>
          </cell>
          <cell r="L98">
            <v>100</v>
          </cell>
          <cell r="M98">
            <v>20.182169999999999</v>
          </cell>
          <cell r="N98">
            <v>1</v>
          </cell>
          <cell r="O98">
            <v>100</v>
          </cell>
          <cell r="P98">
            <v>19.745280000000001</v>
          </cell>
          <cell r="Q98">
            <v>1</v>
          </cell>
          <cell r="R98">
            <v>100</v>
          </cell>
          <cell r="S98">
            <v>19.272639999999999</v>
          </cell>
          <cell r="T98">
            <v>1</v>
          </cell>
          <cell r="U98">
            <v>100</v>
          </cell>
          <cell r="V98">
            <v>19.217400000000001</v>
          </cell>
          <cell r="W98">
            <v>1</v>
          </cell>
          <cell r="X98">
            <v>100</v>
          </cell>
          <cell r="Y98">
            <v>20.383559999999999</v>
          </cell>
          <cell r="Z98">
            <v>1</v>
          </cell>
          <cell r="AA98">
            <v>100</v>
          </cell>
          <cell r="AB98">
            <v>19.73376</v>
          </cell>
        </row>
        <row r="99">
          <cell r="A99" t="str">
            <v>ZUS</v>
          </cell>
          <cell r="B99">
            <v>1</v>
          </cell>
          <cell r="C99">
            <v>100</v>
          </cell>
          <cell r="D99">
            <v>1.1100399999999999</v>
          </cell>
          <cell r="E99">
            <v>1</v>
          </cell>
          <cell r="F99">
            <v>100</v>
          </cell>
          <cell r="G99">
            <v>1.0905</v>
          </cell>
          <cell r="H99">
            <v>1</v>
          </cell>
          <cell r="I99">
            <v>100</v>
          </cell>
          <cell r="J99">
            <v>1.1063400000000001</v>
          </cell>
          <cell r="K99">
            <v>1</v>
          </cell>
          <cell r="L99">
            <v>100</v>
          </cell>
          <cell r="M99">
            <v>1.08619</v>
          </cell>
          <cell r="N99">
            <v>1</v>
          </cell>
          <cell r="O99">
            <v>100</v>
          </cell>
          <cell r="P99">
            <v>1.0901799999999999</v>
          </cell>
          <cell r="Q99">
            <v>1</v>
          </cell>
          <cell r="R99">
            <v>100</v>
          </cell>
          <cell r="S99">
            <v>1.1254599999999999</v>
          </cell>
          <cell r="T99">
            <v>1</v>
          </cell>
          <cell r="U99">
            <v>100</v>
          </cell>
          <cell r="V99">
            <v>1.1463399999999999</v>
          </cell>
          <cell r="W99">
            <v>1</v>
          </cell>
          <cell r="X99">
            <v>100</v>
          </cell>
          <cell r="Y99">
            <v>1.1828099999999999</v>
          </cell>
          <cell r="Z99">
            <v>1</v>
          </cell>
          <cell r="AA99">
            <v>100</v>
          </cell>
          <cell r="AB99">
            <v>1.1792400000000001</v>
          </cell>
        </row>
        <row r="100">
          <cell r="A100" t="str">
            <v>ZZZ</v>
          </cell>
          <cell r="B100">
            <v>1</v>
          </cell>
          <cell r="C100">
            <v>100</v>
          </cell>
          <cell r="D100">
            <v>1.1100399999999999</v>
          </cell>
          <cell r="E100">
            <v>1</v>
          </cell>
          <cell r="F100">
            <v>100</v>
          </cell>
          <cell r="G100">
            <v>1.0905</v>
          </cell>
          <cell r="H100">
            <v>1</v>
          </cell>
          <cell r="I100">
            <v>100</v>
          </cell>
          <cell r="J100">
            <v>1.1063400000000001</v>
          </cell>
          <cell r="K100">
            <v>1</v>
          </cell>
          <cell r="L100">
            <v>100</v>
          </cell>
          <cell r="M100">
            <v>1.08619</v>
          </cell>
          <cell r="N100">
            <v>1</v>
          </cell>
          <cell r="O100">
            <v>100</v>
          </cell>
          <cell r="P100">
            <v>1.0901799999999999</v>
          </cell>
          <cell r="Q100">
            <v>1</v>
          </cell>
          <cell r="R100">
            <v>100</v>
          </cell>
          <cell r="S100">
            <v>1.1254599999999999</v>
          </cell>
          <cell r="T100">
            <v>1</v>
          </cell>
          <cell r="U100">
            <v>100</v>
          </cell>
          <cell r="V100">
            <v>1.1463399999999999</v>
          </cell>
          <cell r="W100">
            <v>1</v>
          </cell>
          <cell r="X100">
            <v>100</v>
          </cell>
          <cell r="Y100">
            <v>1.1828099999999999</v>
          </cell>
          <cell r="Z100">
            <v>1</v>
          </cell>
          <cell r="AA100">
            <v>100</v>
          </cell>
          <cell r="AB100">
            <v>1.1792400000000001</v>
          </cell>
        </row>
        <row r="101">
          <cell r="A101" t="str">
            <v>AFN</v>
          </cell>
          <cell r="B101">
            <v>1</v>
          </cell>
          <cell r="C101">
            <v>100</v>
          </cell>
          <cell r="D101">
            <v>8.5491299999999999</v>
          </cell>
          <cell r="E101">
            <v>1</v>
          </cell>
          <cell r="F101">
            <v>100</v>
          </cell>
          <cell r="G101">
            <v>8.3798499999999994</v>
          </cell>
          <cell r="H101">
            <v>1</v>
          </cell>
          <cell r="I101">
            <v>100</v>
          </cell>
          <cell r="J101">
            <v>8.4294200000000004</v>
          </cell>
          <cell r="K101">
            <v>1</v>
          </cell>
          <cell r="L101">
            <v>100</v>
          </cell>
          <cell r="M101">
            <v>8.2673500000000004</v>
          </cell>
          <cell r="N101">
            <v>1</v>
          </cell>
          <cell r="O101">
            <v>100</v>
          </cell>
          <cell r="P101">
            <v>8.3352199999999996</v>
          </cell>
          <cell r="Q101">
            <v>1</v>
          </cell>
          <cell r="R101">
            <v>100</v>
          </cell>
          <cell r="S101">
            <v>8.6871899999999993</v>
          </cell>
          <cell r="T101">
            <v>1</v>
          </cell>
          <cell r="U101">
            <v>100</v>
          </cell>
          <cell r="V101">
            <v>8.8282399999999992</v>
          </cell>
          <cell r="W101">
            <v>1</v>
          </cell>
          <cell r="X101">
            <v>100</v>
          </cell>
          <cell r="Y101">
            <v>9.1040500000000009</v>
          </cell>
          <cell r="Z101">
            <v>1</v>
          </cell>
          <cell r="AA101">
            <v>100</v>
          </cell>
          <cell r="AB101">
            <v>9.0568200000000001</v>
          </cell>
        </row>
        <row r="102">
          <cell r="A102" t="str">
            <v>AWG</v>
          </cell>
          <cell r="B102">
            <v>1</v>
          </cell>
          <cell r="C102">
            <v>10</v>
          </cell>
          <cell r="D102">
            <v>1.9863500000000001</v>
          </cell>
          <cell r="E102">
            <v>1</v>
          </cell>
          <cell r="F102">
            <v>10</v>
          </cell>
          <cell r="G102">
            <v>1.95224</v>
          </cell>
          <cell r="H102">
            <v>1</v>
          </cell>
          <cell r="I102">
            <v>10</v>
          </cell>
          <cell r="J102">
            <v>1.97671</v>
          </cell>
          <cell r="K102">
            <v>1</v>
          </cell>
          <cell r="L102">
            <v>10</v>
          </cell>
          <cell r="M102">
            <v>1.9456199999999999</v>
          </cell>
          <cell r="N102">
            <v>1</v>
          </cell>
          <cell r="O102">
            <v>10</v>
          </cell>
          <cell r="P102">
            <v>1.9523200000000001</v>
          </cell>
          <cell r="Q102">
            <v>1</v>
          </cell>
          <cell r="R102">
            <v>10</v>
          </cell>
          <cell r="S102">
            <v>2.0155500000000002</v>
          </cell>
          <cell r="T102">
            <v>1</v>
          </cell>
          <cell r="U102">
            <v>10</v>
          </cell>
          <cell r="V102">
            <v>2.0542400000000001</v>
          </cell>
          <cell r="W102">
            <v>1</v>
          </cell>
          <cell r="X102">
            <v>10</v>
          </cell>
          <cell r="Y102">
            <v>2.1175000000000002</v>
          </cell>
          <cell r="Z102">
            <v>1</v>
          </cell>
          <cell r="AA102">
            <v>10</v>
          </cell>
          <cell r="AB102">
            <v>2.1095299999999999</v>
          </cell>
        </row>
        <row r="103">
          <cell r="A103" t="str">
            <v>BMD</v>
          </cell>
          <cell r="B103">
            <v>1</v>
          </cell>
          <cell r="C103">
            <v>10</v>
          </cell>
          <cell r="D103">
            <v>1.1096900000000001</v>
          </cell>
          <cell r="E103">
            <v>1</v>
          </cell>
          <cell r="F103">
            <v>10</v>
          </cell>
          <cell r="G103">
            <v>1.0906400000000001</v>
          </cell>
          <cell r="H103">
            <v>1</v>
          </cell>
          <cell r="I103">
            <v>10</v>
          </cell>
          <cell r="J103">
            <v>1.1043099999999999</v>
          </cell>
          <cell r="K103">
            <v>1</v>
          </cell>
          <cell r="L103">
            <v>10</v>
          </cell>
          <cell r="M103">
            <v>1.08694</v>
          </cell>
          <cell r="N103">
            <v>1</v>
          </cell>
          <cell r="O103">
            <v>10</v>
          </cell>
          <cell r="P103">
            <v>1.0906800000000001</v>
          </cell>
          <cell r="Q103">
            <v>1</v>
          </cell>
          <cell r="R103">
            <v>10</v>
          </cell>
          <cell r="S103">
            <v>1.1259999999999999</v>
          </cell>
          <cell r="T103">
            <v>1</v>
          </cell>
          <cell r="U103">
            <v>10</v>
          </cell>
          <cell r="V103">
            <v>1.1476200000000001</v>
          </cell>
          <cell r="W103">
            <v>1</v>
          </cell>
          <cell r="X103">
            <v>10</v>
          </cell>
          <cell r="Y103">
            <v>1.18296</v>
          </cell>
          <cell r="Z103">
            <v>1</v>
          </cell>
          <cell r="AA103">
            <v>10</v>
          </cell>
          <cell r="AB103">
            <v>1.1785000000000001</v>
          </cell>
        </row>
        <row r="104">
          <cell r="A104" t="str">
            <v>BOB</v>
          </cell>
          <cell r="B104">
            <v>1</v>
          </cell>
          <cell r="C104">
            <v>10</v>
          </cell>
          <cell r="D104">
            <v>7.6679300000000001</v>
          </cell>
          <cell r="E104">
            <v>1</v>
          </cell>
          <cell r="F104">
            <v>10</v>
          </cell>
          <cell r="G104">
            <v>7.5362900000000002</v>
          </cell>
          <cell r="H104">
            <v>1</v>
          </cell>
          <cell r="I104">
            <v>10</v>
          </cell>
          <cell r="J104">
            <v>7.6307900000000002</v>
          </cell>
          <cell r="K104">
            <v>1</v>
          </cell>
          <cell r="L104">
            <v>10</v>
          </cell>
          <cell r="M104">
            <v>7.5107299999999997</v>
          </cell>
          <cell r="N104">
            <v>1</v>
          </cell>
          <cell r="O104">
            <v>10</v>
          </cell>
          <cell r="P104">
            <v>7.5366099999999996</v>
          </cell>
          <cell r="Q104">
            <v>1</v>
          </cell>
          <cell r="R104">
            <v>10</v>
          </cell>
          <cell r="S104">
            <v>7.7806899999999999</v>
          </cell>
          <cell r="T104">
            <v>1</v>
          </cell>
          <cell r="U104">
            <v>10</v>
          </cell>
          <cell r="V104">
            <v>7.9300699999999997</v>
          </cell>
          <cell r="W104">
            <v>1</v>
          </cell>
          <cell r="X104">
            <v>10</v>
          </cell>
          <cell r="Y104">
            <v>8.1742699999999999</v>
          </cell>
          <cell r="Z104">
            <v>1</v>
          </cell>
          <cell r="AA104">
            <v>10</v>
          </cell>
          <cell r="AB104">
            <v>8.1434800000000003</v>
          </cell>
        </row>
        <row r="105">
          <cell r="A105" t="str">
            <v>BZD</v>
          </cell>
          <cell r="B105">
            <v>1</v>
          </cell>
          <cell r="C105">
            <v>10</v>
          </cell>
          <cell r="D105">
            <v>2.2193700000000001</v>
          </cell>
          <cell r="E105">
            <v>1</v>
          </cell>
          <cell r="F105">
            <v>10</v>
          </cell>
          <cell r="G105">
            <v>2.18127</v>
          </cell>
          <cell r="H105">
            <v>1</v>
          </cell>
          <cell r="I105">
            <v>10</v>
          </cell>
          <cell r="J105">
            <v>2.2086199999999998</v>
          </cell>
          <cell r="K105">
            <v>1</v>
          </cell>
          <cell r="L105">
            <v>10</v>
          </cell>
          <cell r="M105">
            <v>2.17387</v>
          </cell>
          <cell r="N105">
            <v>1</v>
          </cell>
          <cell r="O105">
            <v>10</v>
          </cell>
          <cell r="P105">
            <v>2.1813600000000002</v>
          </cell>
          <cell r="Q105">
            <v>1</v>
          </cell>
          <cell r="R105">
            <v>10</v>
          </cell>
          <cell r="S105">
            <v>2.2519999999999998</v>
          </cell>
          <cell r="T105">
            <v>1</v>
          </cell>
          <cell r="U105">
            <v>10</v>
          </cell>
          <cell r="V105">
            <v>2.2952400000000002</v>
          </cell>
          <cell r="W105">
            <v>1</v>
          </cell>
          <cell r="X105">
            <v>10</v>
          </cell>
          <cell r="Y105">
            <v>2.36592</v>
          </cell>
          <cell r="Z105">
            <v>1</v>
          </cell>
          <cell r="AA105">
            <v>10</v>
          </cell>
          <cell r="AB105">
            <v>2.3570099999999998</v>
          </cell>
        </row>
        <row r="106">
          <cell r="A106" t="str">
            <v>GEL</v>
          </cell>
          <cell r="B106">
            <v>1</v>
          </cell>
          <cell r="C106">
            <v>10</v>
          </cell>
          <cell r="D106">
            <v>3.1941299999999999</v>
          </cell>
          <cell r="E106">
            <v>1</v>
          </cell>
          <cell r="F106">
            <v>10</v>
          </cell>
          <cell r="G106">
            <v>3.09613</v>
          </cell>
          <cell r="H106">
            <v>1</v>
          </cell>
          <cell r="I106">
            <v>10</v>
          </cell>
          <cell r="J106">
            <v>3.3674400000000002</v>
          </cell>
          <cell r="K106">
            <v>1</v>
          </cell>
          <cell r="L106">
            <v>10</v>
          </cell>
          <cell r="M106">
            <v>3.4569399999999999</v>
          </cell>
          <cell r="N106">
            <v>1</v>
          </cell>
          <cell r="O106">
            <v>10</v>
          </cell>
          <cell r="P106">
            <v>3.4897900000000002</v>
          </cell>
          <cell r="Q106">
            <v>1</v>
          </cell>
          <cell r="R106">
            <v>10</v>
          </cell>
          <cell r="S106">
            <v>3.4250400000000001</v>
          </cell>
          <cell r="T106">
            <v>1</v>
          </cell>
          <cell r="U106">
            <v>10</v>
          </cell>
          <cell r="V106">
            <v>3.5165799999999998</v>
          </cell>
          <cell r="W106">
            <v>1</v>
          </cell>
          <cell r="X106">
            <v>10</v>
          </cell>
          <cell r="Y106">
            <v>3.6337199999999998</v>
          </cell>
          <cell r="Z106">
            <v>1</v>
          </cell>
          <cell r="AA106">
            <v>10</v>
          </cell>
          <cell r="AB106">
            <v>3.7382499999999999</v>
          </cell>
        </row>
        <row r="107">
          <cell r="A107" t="str">
            <v>IQD</v>
          </cell>
          <cell r="B107">
            <v>1</v>
          </cell>
          <cell r="C107">
            <v>10</v>
          </cell>
          <cell r="D107">
            <v>1.3131699999999999</v>
          </cell>
          <cell r="E107">
            <v>1</v>
          </cell>
          <cell r="F107">
            <v>10</v>
          </cell>
          <cell r="G107">
            <v>1.29006</v>
          </cell>
          <cell r="H107">
            <v>1</v>
          </cell>
          <cell r="I107">
            <v>10</v>
          </cell>
          <cell r="J107">
            <v>1.3088</v>
          </cell>
          <cell r="K107">
            <v>1</v>
          </cell>
          <cell r="L107">
            <v>10</v>
          </cell>
          <cell r="M107">
            <v>1.2849600000000001</v>
          </cell>
          <cell r="N107">
            <v>1</v>
          </cell>
          <cell r="O107">
            <v>10</v>
          </cell>
          <cell r="P107">
            <v>1.28969</v>
          </cell>
          <cell r="Q107">
            <v>1</v>
          </cell>
          <cell r="R107">
            <v>10</v>
          </cell>
          <cell r="S107">
            <v>1.33142</v>
          </cell>
          <cell r="T107">
            <v>1</v>
          </cell>
          <cell r="U107">
            <v>10</v>
          </cell>
          <cell r="V107">
            <v>1.35612</v>
          </cell>
          <cell r="W107">
            <v>1</v>
          </cell>
          <cell r="X107">
            <v>10</v>
          </cell>
          <cell r="Y107">
            <v>1.3992599999999999</v>
          </cell>
          <cell r="Z107">
            <v>1</v>
          </cell>
          <cell r="AA107">
            <v>10</v>
          </cell>
          <cell r="AB107">
            <v>1.3950400000000001</v>
          </cell>
        </row>
        <row r="108">
          <cell r="A108" t="str">
            <v>MGA</v>
          </cell>
          <cell r="B108">
            <v>1</v>
          </cell>
          <cell r="C108">
            <v>10</v>
          </cell>
          <cell r="D108">
            <v>4.1038399999999999</v>
          </cell>
          <cell r="E108">
            <v>1</v>
          </cell>
          <cell r="F108">
            <v>10</v>
          </cell>
          <cell r="G108">
            <v>4.0560499999999999</v>
          </cell>
          <cell r="H108">
            <v>1</v>
          </cell>
          <cell r="I108">
            <v>10</v>
          </cell>
          <cell r="J108">
            <v>4.1197600000000003</v>
          </cell>
          <cell r="K108">
            <v>1</v>
          </cell>
          <cell r="L108">
            <v>10</v>
          </cell>
          <cell r="M108">
            <v>4.11205</v>
          </cell>
          <cell r="N108">
            <v>1</v>
          </cell>
          <cell r="O108">
            <v>10</v>
          </cell>
          <cell r="P108">
            <v>4.1657500000000001</v>
          </cell>
          <cell r="Q108">
            <v>1</v>
          </cell>
          <cell r="R108">
            <v>10</v>
          </cell>
          <cell r="S108">
            <v>4.3204599999999997</v>
          </cell>
          <cell r="T108">
            <v>1</v>
          </cell>
          <cell r="U108">
            <v>10</v>
          </cell>
          <cell r="V108">
            <v>4.4313000000000002</v>
          </cell>
          <cell r="W108">
            <v>1</v>
          </cell>
          <cell r="X108">
            <v>10</v>
          </cell>
          <cell r="Y108">
            <v>4.5455399999999999</v>
          </cell>
          <cell r="Z108">
            <v>1</v>
          </cell>
          <cell r="AA108">
            <v>10</v>
          </cell>
          <cell r="AB108">
            <v>4.5512600000000001</v>
          </cell>
        </row>
        <row r="109">
          <cell r="A109" t="str">
            <v>MKD</v>
          </cell>
          <cell r="B109">
            <v>1</v>
          </cell>
          <cell r="C109">
            <v>100</v>
          </cell>
          <cell r="D109">
            <v>6.1579499999999996</v>
          </cell>
          <cell r="E109">
            <v>1</v>
          </cell>
          <cell r="F109">
            <v>100</v>
          </cell>
          <cell r="G109">
            <v>6.1577099999999998</v>
          </cell>
          <cell r="H109">
            <v>1</v>
          </cell>
          <cell r="I109">
            <v>100</v>
          </cell>
          <cell r="J109">
            <v>6.1595599999999999</v>
          </cell>
          <cell r="K109">
            <v>1</v>
          </cell>
          <cell r="L109">
            <v>100</v>
          </cell>
          <cell r="M109">
            <v>6.1604000000000001</v>
          </cell>
          <cell r="N109">
            <v>1</v>
          </cell>
          <cell r="O109">
            <v>100</v>
          </cell>
          <cell r="P109">
            <v>6.1605800000000004</v>
          </cell>
          <cell r="Q109">
            <v>1</v>
          </cell>
          <cell r="R109">
            <v>100</v>
          </cell>
          <cell r="S109">
            <v>6.1578400000000002</v>
          </cell>
          <cell r="T109">
            <v>1</v>
          </cell>
          <cell r="U109">
            <v>100</v>
          </cell>
          <cell r="V109">
            <v>6.1585000000000001</v>
          </cell>
          <cell r="W109">
            <v>1</v>
          </cell>
          <cell r="X109">
            <v>100</v>
          </cell>
          <cell r="Y109">
            <v>6.1566799999999997</v>
          </cell>
          <cell r="Z109">
            <v>1</v>
          </cell>
          <cell r="AA109">
            <v>100</v>
          </cell>
          <cell r="AB109">
            <v>6.1572800000000001</v>
          </cell>
        </row>
        <row r="110">
          <cell r="A110" t="str">
            <v>MNT</v>
          </cell>
          <cell r="B110">
            <v>1</v>
          </cell>
          <cell r="C110">
            <v>10</v>
          </cell>
          <cell r="D110">
            <v>3.0461</v>
          </cell>
          <cell r="E110">
            <v>1</v>
          </cell>
          <cell r="F110">
            <v>10</v>
          </cell>
          <cell r="G110">
            <v>3.0030399999999999</v>
          </cell>
          <cell r="H110">
            <v>1</v>
          </cell>
          <cell r="I110">
            <v>10</v>
          </cell>
          <cell r="J110">
            <v>3.0567099999999998</v>
          </cell>
          <cell r="K110">
            <v>1</v>
          </cell>
          <cell r="L110">
            <v>10</v>
          </cell>
          <cell r="M110">
            <v>3.0250699999999999</v>
          </cell>
          <cell r="N110">
            <v>1</v>
          </cell>
          <cell r="O110">
            <v>10</v>
          </cell>
          <cell r="P110">
            <v>3.0502899999999999</v>
          </cell>
          <cell r="Q110">
            <v>1</v>
          </cell>
          <cell r="R110">
            <v>10</v>
          </cell>
          <cell r="S110">
            <v>3.1717900000000001</v>
          </cell>
          <cell r="T110">
            <v>1</v>
          </cell>
          <cell r="U110">
            <v>10</v>
          </cell>
          <cell r="V110">
            <v>3.2567699999999999</v>
          </cell>
          <cell r="W110">
            <v>1</v>
          </cell>
          <cell r="X110">
            <v>10</v>
          </cell>
          <cell r="Y110">
            <v>3.3703799999999999</v>
          </cell>
          <cell r="Z110">
            <v>1</v>
          </cell>
          <cell r="AA110">
            <v>10</v>
          </cell>
          <cell r="AB110">
            <v>3.3752</v>
          </cell>
        </row>
        <row r="111">
          <cell r="A111" t="str">
            <v>MRU</v>
          </cell>
          <cell r="B111">
            <v>1</v>
          </cell>
          <cell r="C111">
            <v>10</v>
          </cell>
          <cell r="D111">
            <v>4.1486200000000002</v>
          </cell>
          <cell r="E111">
            <v>1</v>
          </cell>
          <cell r="F111">
            <v>10</v>
          </cell>
          <cell r="G111">
            <v>4.0750200000000003</v>
          </cell>
          <cell r="H111">
            <v>1</v>
          </cell>
          <cell r="I111">
            <v>10</v>
          </cell>
          <cell r="J111">
            <v>4.1223999999999998</v>
          </cell>
          <cell r="K111">
            <v>1</v>
          </cell>
          <cell r="L111">
            <v>10</v>
          </cell>
          <cell r="M111">
            <v>4.0691899999999999</v>
          </cell>
          <cell r="N111">
            <v>1</v>
          </cell>
          <cell r="O111">
            <v>10</v>
          </cell>
          <cell r="P111">
            <v>4.1287200000000004</v>
          </cell>
          <cell r="Q111">
            <v>1</v>
          </cell>
          <cell r="R111">
            <v>10</v>
          </cell>
          <cell r="S111">
            <v>4.2393799999999997</v>
          </cell>
          <cell r="T111">
            <v>1</v>
          </cell>
          <cell r="U111">
            <v>10</v>
          </cell>
          <cell r="V111">
            <v>4.3212700000000002</v>
          </cell>
          <cell r="W111">
            <v>1</v>
          </cell>
          <cell r="X111">
            <v>10</v>
          </cell>
          <cell r="Y111">
            <v>4.4126099999999999</v>
          </cell>
          <cell r="Z111">
            <v>1</v>
          </cell>
          <cell r="AA111">
            <v>10</v>
          </cell>
          <cell r="AB111">
            <v>4.3636900000000001</v>
          </cell>
        </row>
        <row r="112">
          <cell r="A112" t="str">
            <v>NIO</v>
          </cell>
          <cell r="B112">
            <v>1</v>
          </cell>
          <cell r="C112">
            <v>100</v>
          </cell>
          <cell r="D112">
            <v>3.7601300000000002</v>
          </cell>
          <cell r="E112">
            <v>1</v>
          </cell>
          <cell r="F112">
            <v>100</v>
          </cell>
          <cell r="G112">
            <v>3.7043699999999999</v>
          </cell>
          <cell r="H112">
            <v>1</v>
          </cell>
          <cell r="I112">
            <v>100</v>
          </cell>
          <cell r="J112">
            <v>3.7597299999999998</v>
          </cell>
          <cell r="K112">
            <v>1</v>
          </cell>
          <cell r="L112">
            <v>100</v>
          </cell>
          <cell r="M112">
            <v>3.7097899999999999</v>
          </cell>
          <cell r="N112">
            <v>1</v>
          </cell>
          <cell r="O112">
            <v>100</v>
          </cell>
          <cell r="P112">
            <v>3.7316099999999999</v>
          </cell>
          <cell r="Q112">
            <v>1</v>
          </cell>
          <cell r="R112">
            <v>100</v>
          </cell>
          <cell r="S112">
            <v>3.8618899999999998</v>
          </cell>
          <cell r="T112">
            <v>1</v>
          </cell>
          <cell r="U112">
            <v>100</v>
          </cell>
          <cell r="V112">
            <v>3.9460899999999999</v>
          </cell>
          <cell r="W112">
            <v>1</v>
          </cell>
          <cell r="X112">
            <v>100</v>
          </cell>
          <cell r="Y112">
            <v>4.0777200000000002</v>
          </cell>
          <cell r="Z112">
            <v>1</v>
          </cell>
          <cell r="AA112">
            <v>100</v>
          </cell>
          <cell r="AB112">
            <v>4.0722100000000001</v>
          </cell>
        </row>
        <row r="113">
          <cell r="A113" t="str">
            <v>PYG</v>
          </cell>
          <cell r="B113">
            <v>1</v>
          </cell>
          <cell r="C113">
            <v>10</v>
          </cell>
          <cell r="D113">
            <v>7.2298600000000004</v>
          </cell>
          <cell r="E113">
            <v>1</v>
          </cell>
          <cell r="F113">
            <v>10</v>
          </cell>
          <cell r="G113">
            <v>7.1136499999999998</v>
          </cell>
          <cell r="H113">
            <v>1</v>
          </cell>
          <cell r="I113">
            <v>10</v>
          </cell>
          <cell r="J113">
            <v>7.2612699999999997</v>
          </cell>
          <cell r="K113">
            <v>1</v>
          </cell>
          <cell r="L113">
            <v>10</v>
          </cell>
          <cell r="M113">
            <v>7.07707</v>
          </cell>
          <cell r="N113">
            <v>1</v>
          </cell>
          <cell r="O113">
            <v>10</v>
          </cell>
          <cell r="P113">
            <v>7.1764999999999999</v>
          </cell>
          <cell r="Q113">
            <v>1</v>
          </cell>
          <cell r="R113">
            <v>10</v>
          </cell>
          <cell r="S113">
            <v>7.5510299999999999</v>
          </cell>
          <cell r="T113">
            <v>1</v>
          </cell>
          <cell r="U113">
            <v>10</v>
          </cell>
          <cell r="V113">
            <v>7.9170199999999999</v>
          </cell>
          <cell r="W113">
            <v>1</v>
          </cell>
          <cell r="X113">
            <v>10</v>
          </cell>
          <cell r="Y113">
            <v>8.2238500000000005</v>
          </cell>
          <cell r="Z113">
            <v>1</v>
          </cell>
          <cell r="AA113">
            <v>10</v>
          </cell>
          <cell r="AB113">
            <v>8.2350100000000008</v>
          </cell>
        </row>
        <row r="114">
          <cell r="A114" t="str">
            <v>RSD</v>
          </cell>
          <cell r="B114">
            <v>1</v>
          </cell>
          <cell r="C114">
            <v>1</v>
          </cell>
          <cell r="D114">
            <v>117.57496999999999</v>
          </cell>
          <cell r="E114">
            <v>1</v>
          </cell>
          <cell r="F114">
            <v>1</v>
          </cell>
          <cell r="G114">
            <v>117.56288000000001</v>
          </cell>
          <cell r="H114">
            <v>1</v>
          </cell>
          <cell r="I114">
            <v>1</v>
          </cell>
          <cell r="J114">
            <v>117.56186</v>
          </cell>
          <cell r="K114">
            <v>1</v>
          </cell>
          <cell r="L114">
            <v>1</v>
          </cell>
          <cell r="M114">
            <v>117.59474</v>
          </cell>
          <cell r="N114">
            <v>1</v>
          </cell>
          <cell r="O114">
            <v>1</v>
          </cell>
          <cell r="P114">
            <v>117.57753</v>
          </cell>
          <cell r="Q114">
            <v>1</v>
          </cell>
          <cell r="R114">
            <v>1</v>
          </cell>
          <cell r="S114">
            <v>117.58723999999999</v>
          </cell>
          <cell r="T114">
            <v>1</v>
          </cell>
          <cell r="U114">
            <v>1</v>
          </cell>
          <cell r="V114">
            <v>117.60444</v>
          </cell>
          <cell r="W114">
            <v>1</v>
          </cell>
          <cell r="X114">
            <v>1</v>
          </cell>
          <cell r="Y114">
            <v>117.59650000000001</v>
          </cell>
          <cell r="Z114">
            <v>1</v>
          </cell>
          <cell r="AA114">
            <v>1</v>
          </cell>
          <cell r="AB114">
            <v>117.58157</v>
          </cell>
        </row>
        <row r="115">
          <cell r="A115" t="str">
            <v>SDG</v>
          </cell>
          <cell r="B115">
            <v>1</v>
          </cell>
          <cell r="C115">
            <v>100</v>
          </cell>
          <cell r="D115">
            <v>5.1572800000000001</v>
          </cell>
          <cell r="E115">
            <v>1</v>
          </cell>
          <cell r="F115">
            <v>100</v>
          </cell>
          <cell r="G115">
            <v>5.6779000000000002</v>
          </cell>
          <cell r="H115">
            <v>1</v>
          </cell>
          <cell r="I115">
            <v>100</v>
          </cell>
          <cell r="J115">
            <v>6.1000899999999998</v>
          </cell>
          <cell r="K115">
            <v>1</v>
          </cell>
          <cell r="L115">
            <v>100</v>
          </cell>
          <cell r="M115">
            <v>5.9889799999999997</v>
          </cell>
          <cell r="N115">
            <v>1</v>
          </cell>
          <cell r="O115">
            <v>100</v>
          </cell>
          <cell r="P115">
            <v>6.0110099999999997</v>
          </cell>
          <cell r="Q115">
            <v>1</v>
          </cell>
          <cell r="R115">
            <v>100</v>
          </cell>
          <cell r="S115">
            <v>6.2054999999999998</v>
          </cell>
          <cell r="T115">
            <v>1</v>
          </cell>
          <cell r="U115">
            <v>100</v>
          </cell>
          <cell r="V115">
            <v>6.3206300000000004</v>
          </cell>
          <cell r="W115">
            <v>1</v>
          </cell>
          <cell r="X115">
            <v>100</v>
          </cell>
          <cell r="Y115">
            <v>6.5213299999999998</v>
          </cell>
          <cell r="Z115">
            <v>1</v>
          </cell>
          <cell r="AA115">
            <v>100</v>
          </cell>
          <cell r="AB115">
            <v>6.5016699999999998</v>
          </cell>
        </row>
        <row r="116">
          <cell r="A116" t="str">
            <v>UYU</v>
          </cell>
          <cell r="B116">
            <v>1</v>
          </cell>
          <cell r="C116">
            <v>100</v>
          </cell>
          <cell r="D116">
            <v>4.1487499999999997</v>
          </cell>
          <cell r="E116">
            <v>1</v>
          </cell>
          <cell r="F116">
            <v>100</v>
          </cell>
          <cell r="G116">
            <v>4.14893</v>
          </cell>
          <cell r="H116">
            <v>1</v>
          </cell>
          <cell r="I116">
            <v>100</v>
          </cell>
          <cell r="J116">
            <v>4.7664</v>
          </cell>
          <cell r="K116">
            <v>1</v>
          </cell>
          <cell r="L116">
            <v>100</v>
          </cell>
          <cell r="M116">
            <v>4.7200100000000003</v>
          </cell>
          <cell r="N116">
            <v>1</v>
          </cell>
          <cell r="O116">
            <v>100</v>
          </cell>
          <cell r="P116">
            <v>4.7423200000000003</v>
          </cell>
          <cell r="Q116">
            <v>1</v>
          </cell>
          <cell r="R116">
            <v>100</v>
          </cell>
          <cell r="S116">
            <v>4.8041299999999998</v>
          </cell>
          <cell r="T116">
            <v>1</v>
          </cell>
          <cell r="U116">
            <v>100</v>
          </cell>
          <cell r="V116">
            <v>4.9486600000000003</v>
          </cell>
          <cell r="W116">
            <v>1</v>
          </cell>
          <cell r="X116">
            <v>100</v>
          </cell>
          <cell r="Y116">
            <v>5.0480900000000002</v>
          </cell>
          <cell r="Z116">
            <v>1</v>
          </cell>
          <cell r="AA116">
            <v>100</v>
          </cell>
          <cell r="AB116">
            <v>5.00657</v>
          </cell>
        </row>
        <row r="117">
          <cell r="A117" t="str">
            <v>VES</v>
          </cell>
          <cell r="B117">
            <v>1</v>
          </cell>
          <cell r="C117">
            <v>10</v>
          </cell>
          <cell r="D117">
            <v>7484.0915400000004</v>
          </cell>
          <cell r="E117">
            <v>1</v>
          </cell>
          <cell r="F117">
            <v>10</v>
          </cell>
          <cell r="G117">
            <v>8014.07989</v>
          </cell>
          <cell r="H117">
            <v>1</v>
          </cell>
          <cell r="I117">
            <v>10</v>
          </cell>
          <cell r="J117">
            <v>8168.7266200000004</v>
          </cell>
          <cell r="K117">
            <v>1</v>
          </cell>
          <cell r="L117">
            <v>10</v>
          </cell>
          <cell r="M117">
            <v>1373.2452699999999</v>
          </cell>
          <cell r="N117">
            <v>1</v>
          </cell>
          <cell r="O117">
            <v>10</v>
          </cell>
          <cell r="P117">
            <v>2002.1441299999999</v>
          </cell>
          <cell r="Q117">
            <v>1</v>
          </cell>
          <cell r="R117">
            <v>10</v>
          </cell>
          <cell r="S117">
            <v>2251.7713399999998</v>
          </cell>
          <cell r="T117">
            <v>1</v>
          </cell>
          <cell r="U117">
            <v>10</v>
          </cell>
          <cell r="V117">
            <v>2591.9731299999999</v>
          </cell>
          <cell r="W117">
            <v>1</v>
          </cell>
          <cell r="X117">
            <v>10</v>
          </cell>
          <cell r="Y117">
            <v>3469.8924200000001</v>
          </cell>
          <cell r="Z117">
            <v>1</v>
          </cell>
          <cell r="AA117">
            <v>10</v>
          </cell>
          <cell r="AB117">
            <v>4418.6806500000002</v>
          </cell>
        </row>
        <row r="118">
          <cell r="A118" t="str">
            <v>XAF</v>
          </cell>
          <cell r="B118">
            <v>1</v>
          </cell>
          <cell r="C118">
            <v>1000</v>
          </cell>
          <cell r="D118">
            <v>6.5595699999999999</v>
          </cell>
          <cell r="E118">
            <v>1</v>
          </cell>
          <cell r="F118">
            <v>1000</v>
          </cell>
          <cell r="G118">
            <v>6.5595699999999999</v>
          </cell>
          <cell r="H118">
            <v>1</v>
          </cell>
          <cell r="I118">
            <v>1000</v>
          </cell>
          <cell r="J118">
            <v>6.5595699999999999</v>
          </cell>
          <cell r="K118">
            <v>1</v>
          </cell>
          <cell r="L118">
            <v>1000</v>
          </cell>
          <cell r="M118">
            <v>6.5595699999999999</v>
          </cell>
          <cell r="N118">
            <v>1</v>
          </cell>
          <cell r="O118">
            <v>1000</v>
          </cell>
          <cell r="P118">
            <v>6.5595699999999999</v>
          </cell>
          <cell r="Q118">
            <v>1</v>
          </cell>
          <cell r="R118">
            <v>1000</v>
          </cell>
          <cell r="S118">
            <v>6.5595699999999999</v>
          </cell>
          <cell r="T118">
            <v>1</v>
          </cell>
          <cell r="U118">
            <v>1000</v>
          </cell>
          <cell r="V118">
            <v>6.5595699999999999</v>
          </cell>
          <cell r="W118">
            <v>1</v>
          </cell>
          <cell r="X118">
            <v>1000</v>
          </cell>
          <cell r="Y118">
            <v>6.5595699999999999</v>
          </cell>
          <cell r="Z118">
            <v>1</v>
          </cell>
          <cell r="AA118">
            <v>1000</v>
          </cell>
          <cell r="AB118">
            <v>6.5595699999999999</v>
          </cell>
        </row>
        <row r="119">
          <cell r="A119" t="str">
            <v>XCD</v>
          </cell>
          <cell r="B119">
            <v>1</v>
          </cell>
          <cell r="C119">
            <v>10</v>
          </cell>
          <cell r="D119">
            <v>2.9961600000000002</v>
          </cell>
          <cell r="E119">
            <v>1</v>
          </cell>
          <cell r="F119">
            <v>10</v>
          </cell>
          <cell r="G119">
            <v>2.9447199999999998</v>
          </cell>
          <cell r="H119">
            <v>1</v>
          </cell>
          <cell r="I119">
            <v>10</v>
          </cell>
          <cell r="J119">
            <v>2.9816400000000001</v>
          </cell>
          <cell r="K119">
            <v>1</v>
          </cell>
          <cell r="L119">
            <v>10</v>
          </cell>
          <cell r="M119">
            <v>2.9347300000000001</v>
          </cell>
          <cell r="N119">
            <v>1</v>
          </cell>
          <cell r="O119">
            <v>10</v>
          </cell>
          <cell r="P119">
            <v>2.9448400000000001</v>
          </cell>
          <cell r="Q119">
            <v>1</v>
          </cell>
          <cell r="R119">
            <v>10</v>
          </cell>
          <cell r="S119">
            <v>3.0402100000000001</v>
          </cell>
          <cell r="T119">
            <v>1</v>
          </cell>
          <cell r="U119">
            <v>10</v>
          </cell>
          <cell r="V119">
            <v>3.09857</v>
          </cell>
          <cell r="W119">
            <v>1</v>
          </cell>
          <cell r="X119">
            <v>10</v>
          </cell>
          <cell r="Y119">
            <v>3.194</v>
          </cell>
          <cell r="Z119">
            <v>1</v>
          </cell>
          <cell r="AA119">
            <v>10</v>
          </cell>
          <cell r="AB119">
            <v>3.1819600000000001</v>
          </cell>
        </row>
        <row r="120">
          <cell r="A120" t="str">
            <v>XOF</v>
          </cell>
          <cell r="B120">
            <v>1</v>
          </cell>
          <cell r="C120">
            <v>1</v>
          </cell>
          <cell r="D120">
            <v>655.95702000000006</v>
          </cell>
          <cell r="E120">
            <v>1</v>
          </cell>
          <cell r="F120">
            <v>1</v>
          </cell>
          <cell r="G120">
            <v>655.95703000000003</v>
          </cell>
          <cell r="H120">
            <v>1</v>
          </cell>
          <cell r="I120">
            <v>1</v>
          </cell>
          <cell r="J120">
            <v>655.95702000000006</v>
          </cell>
          <cell r="K120">
            <v>1</v>
          </cell>
          <cell r="L120">
            <v>1</v>
          </cell>
          <cell r="M120">
            <v>655.95702000000006</v>
          </cell>
          <cell r="N120">
            <v>1</v>
          </cell>
          <cell r="O120">
            <v>1</v>
          </cell>
          <cell r="P120">
            <v>655.95703000000003</v>
          </cell>
          <cell r="Q120">
            <v>1</v>
          </cell>
          <cell r="R120">
            <v>1</v>
          </cell>
          <cell r="S120">
            <v>655.95702000000006</v>
          </cell>
          <cell r="T120">
            <v>1</v>
          </cell>
          <cell r="U120">
            <v>1</v>
          </cell>
          <cell r="V120">
            <v>655.95702000000006</v>
          </cell>
          <cell r="W120">
            <v>1</v>
          </cell>
          <cell r="X120">
            <v>1</v>
          </cell>
          <cell r="Y120">
            <v>655.95702000000006</v>
          </cell>
          <cell r="Z120">
            <v>1</v>
          </cell>
          <cell r="AA120">
            <v>1</v>
          </cell>
          <cell r="AB120">
            <v>655.95700999999997</v>
          </cell>
        </row>
        <row r="121">
          <cell r="A121" t="str">
            <v>YER</v>
          </cell>
          <cell r="B121">
            <v>1</v>
          </cell>
          <cell r="C121">
            <v>1000</v>
          </cell>
          <cell r="D121">
            <v>2.7753700000000001</v>
          </cell>
          <cell r="E121">
            <v>1</v>
          </cell>
          <cell r="F121">
            <v>1000</v>
          </cell>
          <cell r="G121">
            <v>2.72736</v>
          </cell>
          <cell r="H121">
            <v>1</v>
          </cell>
          <cell r="I121">
            <v>1000</v>
          </cell>
          <cell r="J121">
            <v>2.7643</v>
          </cell>
          <cell r="K121">
            <v>1</v>
          </cell>
          <cell r="L121">
            <v>1000</v>
          </cell>
          <cell r="M121">
            <v>2.7201300000000002</v>
          </cell>
          <cell r="N121">
            <v>1</v>
          </cell>
          <cell r="O121">
            <v>1000</v>
          </cell>
          <cell r="P121">
            <v>2.7301600000000001</v>
          </cell>
          <cell r="Q121">
            <v>1</v>
          </cell>
          <cell r="R121">
            <v>1000</v>
          </cell>
          <cell r="S121">
            <v>2.81854</v>
          </cell>
          <cell r="T121">
            <v>1</v>
          </cell>
          <cell r="U121">
            <v>1000</v>
          </cell>
          <cell r="V121">
            <v>2.8725200000000002</v>
          </cell>
          <cell r="W121">
            <v>1</v>
          </cell>
          <cell r="X121">
            <v>1000</v>
          </cell>
          <cell r="Y121">
            <v>2.9586000000000001</v>
          </cell>
          <cell r="Z121">
            <v>1</v>
          </cell>
          <cell r="AA121">
            <v>1000</v>
          </cell>
          <cell r="AB121">
            <v>2.9401000000000002</v>
          </cell>
        </row>
      </sheetData>
      <sheetData sheetId="3">
        <row r="1">
          <cell r="A1" t="str">
            <v>MANDT</v>
          </cell>
          <cell r="B1" t="str">
            <v>KURST</v>
          </cell>
          <cell r="C1" t="str">
            <v>FCURR</v>
          </cell>
          <cell r="D1" t="str">
            <v>TCURR</v>
          </cell>
          <cell r="E1" t="str">
            <v>GDATU</v>
          </cell>
          <cell r="F1" t="str">
            <v>UKURS</v>
          </cell>
          <cell r="G1" t="str">
            <v>FFACT</v>
          </cell>
          <cell r="H1" t="str">
            <v>TFACT</v>
          </cell>
          <cell r="I1" t="str">
            <v>Month</v>
          </cell>
          <cell r="J1" t="str">
            <v>UKURS</v>
          </cell>
          <cell r="K1" t="str">
            <v>UKURS</v>
          </cell>
          <cell r="N1" t="str">
            <v>TO EUR</v>
          </cell>
          <cell r="O1" t="str">
            <v>FROM EUR</v>
          </cell>
          <cell r="P1"/>
          <cell r="Q1"/>
        </row>
        <row r="2">
          <cell r="A2" t="str">
            <v>001</v>
          </cell>
        </row>
        <row r="3">
          <cell r="A3" t="str">
            <v>001</v>
          </cell>
        </row>
        <row r="4">
          <cell r="A4" t="str">
            <v>001</v>
          </cell>
        </row>
        <row r="5">
          <cell r="A5" t="str">
            <v>001</v>
          </cell>
        </row>
        <row r="6">
          <cell r="A6" t="str">
            <v>001</v>
          </cell>
        </row>
        <row r="7">
          <cell r="A7" t="str">
            <v>001</v>
          </cell>
        </row>
        <row r="8">
          <cell r="A8" t="str">
            <v>001</v>
          </cell>
        </row>
        <row r="9">
          <cell r="A9" t="str">
            <v>001</v>
          </cell>
        </row>
        <row r="10">
          <cell r="A10" t="str">
            <v>001</v>
          </cell>
        </row>
        <row r="11">
          <cell r="A11" t="str">
            <v>001</v>
          </cell>
        </row>
        <row r="12">
          <cell r="A12" t="str">
            <v>001</v>
          </cell>
        </row>
        <row r="13">
          <cell r="A13" t="str">
            <v>001</v>
          </cell>
        </row>
        <row r="14">
          <cell r="A14" t="str">
            <v>001</v>
          </cell>
        </row>
        <row r="15">
          <cell r="A15" t="str">
            <v>001</v>
          </cell>
        </row>
        <row r="16">
          <cell r="A16" t="str">
            <v>001</v>
          </cell>
        </row>
        <row r="17">
          <cell r="A17" t="str">
            <v>001</v>
          </cell>
        </row>
        <row r="18">
          <cell r="A18" t="str">
            <v>001</v>
          </cell>
        </row>
        <row r="19">
          <cell r="A19" t="str">
            <v>001</v>
          </cell>
        </row>
        <row r="20">
          <cell r="A20" t="str">
            <v>001</v>
          </cell>
        </row>
        <row r="21">
          <cell r="A21" t="str">
            <v>001</v>
          </cell>
        </row>
        <row r="22">
          <cell r="A22" t="str">
            <v>001</v>
          </cell>
        </row>
        <row r="23">
          <cell r="A23" t="str">
            <v>001</v>
          </cell>
        </row>
        <row r="24">
          <cell r="A24" t="str">
            <v>001</v>
          </cell>
        </row>
        <row r="25">
          <cell r="A25" t="str">
            <v>001</v>
          </cell>
        </row>
        <row r="26">
          <cell r="A26" t="str">
            <v>001</v>
          </cell>
        </row>
        <row r="27">
          <cell r="A27" t="str">
            <v>001</v>
          </cell>
        </row>
        <row r="28">
          <cell r="A28" t="str">
            <v>001</v>
          </cell>
        </row>
        <row r="29">
          <cell r="A29" t="str">
            <v>001</v>
          </cell>
        </row>
        <row r="30">
          <cell r="A30" t="str">
            <v>001</v>
          </cell>
        </row>
        <row r="31">
          <cell r="A31" t="str">
            <v>001</v>
          </cell>
        </row>
        <row r="32">
          <cell r="A32" t="str">
            <v>001</v>
          </cell>
        </row>
        <row r="33">
          <cell r="A33" t="str">
            <v>001</v>
          </cell>
        </row>
        <row r="34">
          <cell r="A34" t="str">
            <v>001</v>
          </cell>
        </row>
        <row r="35">
          <cell r="A35" t="str">
            <v>001</v>
          </cell>
        </row>
        <row r="36">
          <cell r="A36" t="str">
            <v>001</v>
          </cell>
        </row>
        <row r="37">
          <cell r="A37" t="str">
            <v>001</v>
          </cell>
        </row>
        <row r="38">
          <cell r="A38" t="str">
            <v>001</v>
          </cell>
        </row>
        <row r="39">
          <cell r="A39" t="str">
            <v>001</v>
          </cell>
        </row>
        <row r="40">
          <cell r="A40" t="str">
            <v>001</v>
          </cell>
        </row>
        <row r="41">
          <cell r="A41" t="str">
            <v>001</v>
          </cell>
        </row>
        <row r="42">
          <cell r="A42" t="str">
            <v>001</v>
          </cell>
        </row>
        <row r="43">
          <cell r="A43" t="str">
            <v>001</v>
          </cell>
        </row>
        <row r="44">
          <cell r="A44" t="str">
            <v>001</v>
          </cell>
        </row>
        <row r="45">
          <cell r="A45" t="str">
            <v>001</v>
          </cell>
        </row>
        <row r="46">
          <cell r="A46" t="str">
            <v>001</v>
          </cell>
        </row>
        <row r="47">
          <cell r="A47" t="str">
            <v>001</v>
          </cell>
        </row>
        <row r="48">
          <cell r="A48" t="str">
            <v>001</v>
          </cell>
        </row>
        <row r="49">
          <cell r="A49" t="str">
            <v>001</v>
          </cell>
        </row>
        <row r="50">
          <cell r="A50" t="str">
            <v>001</v>
          </cell>
        </row>
        <row r="51">
          <cell r="A51" t="str">
            <v>001</v>
          </cell>
        </row>
        <row r="52">
          <cell r="A52" t="str">
            <v>001</v>
          </cell>
        </row>
        <row r="53">
          <cell r="A53" t="str">
            <v>001</v>
          </cell>
        </row>
        <row r="54">
          <cell r="A54" t="str">
            <v>001</v>
          </cell>
        </row>
        <row r="55">
          <cell r="A55" t="str">
            <v>001</v>
          </cell>
        </row>
        <row r="56">
          <cell r="A56" t="str">
            <v>001</v>
          </cell>
        </row>
        <row r="57">
          <cell r="A57" t="str">
            <v>001</v>
          </cell>
        </row>
        <row r="58">
          <cell r="A58" t="str">
            <v>001</v>
          </cell>
        </row>
        <row r="59">
          <cell r="A59" t="str">
            <v>001</v>
          </cell>
        </row>
        <row r="60">
          <cell r="A60" t="str">
            <v>001</v>
          </cell>
        </row>
        <row r="61">
          <cell r="A61" t="str">
            <v>001</v>
          </cell>
        </row>
        <row r="62">
          <cell r="A62" t="str">
            <v>001</v>
          </cell>
        </row>
        <row r="63">
          <cell r="A63" t="str">
            <v>001</v>
          </cell>
        </row>
        <row r="64">
          <cell r="A64" t="str">
            <v>001</v>
          </cell>
        </row>
        <row r="65">
          <cell r="A65" t="str">
            <v>001</v>
          </cell>
        </row>
        <row r="66">
          <cell r="A66" t="str">
            <v>001</v>
          </cell>
        </row>
        <row r="67">
          <cell r="A67" t="str">
            <v>001</v>
          </cell>
        </row>
        <row r="68">
          <cell r="A68" t="str">
            <v>001</v>
          </cell>
        </row>
        <row r="69">
          <cell r="A69" t="str">
            <v>001</v>
          </cell>
        </row>
        <row r="70">
          <cell r="A70" t="str">
            <v>001</v>
          </cell>
        </row>
        <row r="71">
          <cell r="A71" t="str">
            <v>001</v>
          </cell>
        </row>
        <row r="72">
          <cell r="A72" t="str">
            <v>001</v>
          </cell>
        </row>
        <row r="73">
          <cell r="A73" t="str">
            <v>001</v>
          </cell>
        </row>
        <row r="74">
          <cell r="A74" t="str">
            <v>001</v>
          </cell>
        </row>
        <row r="75">
          <cell r="A75" t="str">
            <v>001</v>
          </cell>
        </row>
        <row r="76">
          <cell r="A76" t="str">
            <v>001</v>
          </cell>
        </row>
        <row r="77">
          <cell r="A77" t="str">
            <v>001</v>
          </cell>
        </row>
        <row r="78">
          <cell r="A78" t="str">
            <v>001</v>
          </cell>
        </row>
        <row r="79">
          <cell r="A79" t="str">
            <v>001</v>
          </cell>
        </row>
        <row r="80">
          <cell r="A80" t="str">
            <v>001</v>
          </cell>
        </row>
        <row r="81">
          <cell r="A81" t="str">
            <v>001</v>
          </cell>
        </row>
        <row r="82">
          <cell r="A82" t="str">
            <v>001</v>
          </cell>
        </row>
        <row r="83">
          <cell r="A83" t="str">
            <v>001</v>
          </cell>
        </row>
        <row r="84">
          <cell r="A84" t="str">
            <v>001</v>
          </cell>
        </row>
        <row r="85">
          <cell r="A85" t="str">
            <v>001</v>
          </cell>
        </row>
        <row r="86">
          <cell r="A86" t="str">
            <v>001</v>
          </cell>
        </row>
        <row r="87">
          <cell r="A87" t="str">
            <v>001</v>
          </cell>
        </row>
        <row r="88">
          <cell r="A88" t="str">
            <v>001</v>
          </cell>
        </row>
        <row r="89">
          <cell r="A89" t="str">
            <v>001</v>
          </cell>
        </row>
        <row r="90">
          <cell r="A90" t="str">
            <v>001</v>
          </cell>
        </row>
        <row r="91">
          <cell r="A91" t="str">
            <v>001</v>
          </cell>
        </row>
        <row r="92">
          <cell r="A92" t="str">
            <v>001</v>
          </cell>
        </row>
        <row r="93">
          <cell r="A93" t="str">
            <v>001</v>
          </cell>
        </row>
        <row r="94">
          <cell r="A94" t="str">
            <v>001</v>
          </cell>
        </row>
        <row r="95">
          <cell r="A95" t="str">
            <v>001</v>
          </cell>
        </row>
        <row r="96">
          <cell r="A96" t="str">
            <v>001</v>
          </cell>
        </row>
        <row r="97">
          <cell r="A97" t="str">
            <v>001</v>
          </cell>
        </row>
        <row r="98">
          <cell r="A98" t="str">
            <v>001</v>
          </cell>
        </row>
        <row r="99">
          <cell r="A99" t="str">
            <v>001</v>
          </cell>
        </row>
        <row r="100">
          <cell r="A100" t="str">
            <v>001</v>
          </cell>
        </row>
        <row r="101">
          <cell r="A101" t="str">
            <v>001</v>
          </cell>
        </row>
        <row r="102">
          <cell r="A102" t="str">
            <v>001</v>
          </cell>
        </row>
        <row r="103">
          <cell r="A103" t="str">
            <v>001</v>
          </cell>
        </row>
        <row r="104">
          <cell r="A104" t="str">
            <v>001</v>
          </cell>
        </row>
        <row r="105">
          <cell r="A105" t="str">
            <v>001</v>
          </cell>
        </row>
        <row r="106">
          <cell r="A106" t="str">
            <v>001</v>
          </cell>
        </row>
        <row r="107">
          <cell r="A107" t="str">
            <v>001</v>
          </cell>
        </row>
        <row r="108">
          <cell r="A108" t="str">
            <v>001</v>
          </cell>
        </row>
        <row r="109">
          <cell r="A109" t="str">
            <v>001</v>
          </cell>
        </row>
        <row r="110">
          <cell r="A110" t="str">
            <v>001</v>
          </cell>
        </row>
        <row r="111">
          <cell r="A111" t="str">
            <v>001</v>
          </cell>
        </row>
        <row r="112">
          <cell r="A112" t="str">
            <v>001</v>
          </cell>
        </row>
        <row r="113">
          <cell r="A113" t="str">
            <v>001</v>
          </cell>
        </row>
        <row r="114">
          <cell r="A114" t="str">
            <v>001</v>
          </cell>
        </row>
        <row r="115">
          <cell r="A115" t="str">
            <v>001</v>
          </cell>
        </row>
        <row r="116">
          <cell r="A116" t="str">
            <v>001</v>
          </cell>
        </row>
        <row r="117">
          <cell r="A117" t="str">
            <v>001</v>
          </cell>
        </row>
        <row r="118">
          <cell r="A118" t="str">
            <v>001</v>
          </cell>
        </row>
        <row r="119">
          <cell r="A119" t="str">
            <v>001</v>
          </cell>
        </row>
        <row r="120">
          <cell r="A120" t="str">
            <v>001</v>
          </cell>
        </row>
        <row r="121">
          <cell r="A121" t="str">
            <v>001</v>
          </cell>
        </row>
        <row r="122">
          <cell r="A122" t="str">
            <v>001</v>
          </cell>
        </row>
        <row r="123">
          <cell r="A123" t="str">
            <v>001</v>
          </cell>
        </row>
        <row r="124">
          <cell r="A124" t="str">
            <v>001</v>
          </cell>
        </row>
        <row r="125">
          <cell r="A125" t="str">
            <v>001</v>
          </cell>
        </row>
        <row r="126">
          <cell r="A126" t="str">
            <v>001</v>
          </cell>
        </row>
        <row r="127">
          <cell r="A127" t="str">
            <v>001</v>
          </cell>
        </row>
        <row r="128">
          <cell r="A128" t="str">
            <v>001</v>
          </cell>
        </row>
        <row r="129">
          <cell r="A129" t="str">
            <v>001</v>
          </cell>
        </row>
        <row r="130">
          <cell r="A130" t="str">
            <v>001</v>
          </cell>
        </row>
        <row r="131">
          <cell r="A131" t="str">
            <v>001</v>
          </cell>
        </row>
        <row r="132">
          <cell r="A132" t="str">
            <v>001</v>
          </cell>
        </row>
        <row r="133">
          <cell r="A133" t="str">
            <v>001</v>
          </cell>
        </row>
        <row r="134">
          <cell r="A134" t="str">
            <v>001</v>
          </cell>
        </row>
        <row r="135">
          <cell r="A135" t="str">
            <v>001</v>
          </cell>
        </row>
        <row r="136">
          <cell r="A136" t="str">
            <v>001</v>
          </cell>
        </row>
        <row r="137">
          <cell r="A137" t="str">
            <v>001</v>
          </cell>
        </row>
        <row r="138">
          <cell r="A138" t="str">
            <v>001</v>
          </cell>
        </row>
        <row r="139">
          <cell r="A139" t="str">
            <v>001</v>
          </cell>
        </row>
        <row r="140">
          <cell r="A140" t="str">
            <v>001</v>
          </cell>
        </row>
        <row r="141">
          <cell r="A141" t="str">
            <v>001</v>
          </cell>
        </row>
        <row r="142">
          <cell r="A142" t="str">
            <v>001</v>
          </cell>
        </row>
        <row r="143">
          <cell r="A143" t="str">
            <v>001</v>
          </cell>
        </row>
        <row r="144">
          <cell r="A144" t="str">
            <v>001</v>
          </cell>
        </row>
        <row r="145">
          <cell r="A145" t="str">
            <v>001</v>
          </cell>
        </row>
        <row r="146">
          <cell r="A146" t="str">
            <v>001</v>
          </cell>
        </row>
        <row r="147">
          <cell r="A147" t="str">
            <v>001</v>
          </cell>
        </row>
        <row r="148">
          <cell r="A148" t="str">
            <v>001</v>
          </cell>
        </row>
        <row r="149">
          <cell r="A149" t="str">
            <v>001</v>
          </cell>
        </row>
        <row r="150">
          <cell r="A150" t="str">
            <v>001</v>
          </cell>
        </row>
        <row r="151">
          <cell r="A151" t="str">
            <v>001</v>
          </cell>
        </row>
        <row r="152">
          <cell r="A152" t="str">
            <v>001</v>
          </cell>
        </row>
        <row r="153">
          <cell r="A153" t="str">
            <v>001</v>
          </cell>
        </row>
        <row r="154">
          <cell r="A154" t="str">
            <v>001</v>
          </cell>
        </row>
        <row r="155">
          <cell r="A155" t="str">
            <v>001</v>
          </cell>
        </row>
        <row r="156">
          <cell r="A156" t="str">
            <v>001</v>
          </cell>
        </row>
        <row r="157">
          <cell r="A157" t="str">
            <v>001</v>
          </cell>
        </row>
        <row r="158">
          <cell r="A158" t="str">
            <v>001</v>
          </cell>
        </row>
        <row r="159">
          <cell r="A159" t="str">
            <v>001</v>
          </cell>
        </row>
        <row r="160">
          <cell r="A160" t="str">
            <v>001</v>
          </cell>
        </row>
        <row r="161">
          <cell r="A161" t="str">
            <v>001</v>
          </cell>
        </row>
        <row r="162">
          <cell r="A162" t="str">
            <v>001</v>
          </cell>
        </row>
        <row r="163">
          <cell r="A163" t="str">
            <v>001</v>
          </cell>
        </row>
        <row r="164">
          <cell r="A164" t="str">
            <v>001</v>
          </cell>
        </row>
        <row r="165">
          <cell r="A165" t="str">
            <v>001</v>
          </cell>
        </row>
        <row r="166">
          <cell r="A166" t="str">
            <v>001</v>
          </cell>
        </row>
        <row r="167">
          <cell r="A167" t="str">
            <v>001</v>
          </cell>
        </row>
        <row r="168">
          <cell r="A168" t="str">
            <v>001</v>
          </cell>
        </row>
        <row r="169">
          <cell r="A169" t="str">
            <v>001</v>
          </cell>
        </row>
        <row r="170">
          <cell r="A170" t="str">
            <v>001</v>
          </cell>
        </row>
        <row r="171">
          <cell r="A171" t="str">
            <v>001</v>
          </cell>
        </row>
        <row r="172">
          <cell r="A172" t="str">
            <v>001</v>
          </cell>
        </row>
        <row r="173">
          <cell r="A173" t="str">
            <v>001</v>
          </cell>
        </row>
        <row r="174">
          <cell r="A174" t="str">
            <v>001</v>
          </cell>
        </row>
        <row r="175">
          <cell r="A175" t="str">
            <v>001</v>
          </cell>
        </row>
        <row r="176">
          <cell r="A176" t="str">
            <v>001</v>
          </cell>
        </row>
        <row r="177">
          <cell r="A177" t="str">
            <v>001</v>
          </cell>
        </row>
        <row r="178">
          <cell r="A178" t="str">
            <v>001</v>
          </cell>
        </row>
        <row r="179">
          <cell r="A179" t="str">
            <v>001</v>
          </cell>
        </row>
        <row r="180">
          <cell r="A180" t="str">
            <v>001</v>
          </cell>
        </row>
        <row r="181">
          <cell r="A181" t="str">
            <v>001</v>
          </cell>
        </row>
        <row r="182">
          <cell r="A182" t="str">
            <v>001</v>
          </cell>
        </row>
        <row r="183">
          <cell r="A183" t="str">
            <v>001</v>
          </cell>
        </row>
        <row r="184">
          <cell r="A184" t="str">
            <v>001</v>
          </cell>
        </row>
        <row r="185">
          <cell r="A185" t="str">
            <v>001</v>
          </cell>
        </row>
        <row r="186">
          <cell r="A186" t="str">
            <v>001</v>
          </cell>
        </row>
        <row r="187">
          <cell r="A187" t="str">
            <v>001</v>
          </cell>
        </row>
        <row r="188">
          <cell r="A188" t="str">
            <v>001</v>
          </cell>
        </row>
        <row r="189">
          <cell r="A189" t="str">
            <v>001</v>
          </cell>
        </row>
        <row r="190">
          <cell r="A190" t="str">
            <v>001</v>
          </cell>
        </row>
        <row r="191">
          <cell r="A191" t="str">
            <v>001</v>
          </cell>
        </row>
        <row r="192">
          <cell r="A192" t="str">
            <v>001</v>
          </cell>
        </row>
        <row r="193">
          <cell r="A193" t="str">
            <v>001</v>
          </cell>
        </row>
        <row r="194">
          <cell r="A194" t="str">
            <v>001</v>
          </cell>
        </row>
        <row r="195">
          <cell r="A195" t="str">
            <v>001</v>
          </cell>
        </row>
        <row r="196">
          <cell r="A196" t="str">
            <v>001</v>
          </cell>
        </row>
        <row r="197">
          <cell r="A197" t="str">
            <v>001</v>
          </cell>
        </row>
        <row r="198">
          <cell r="A198" t="str">
            <v>001</v>
          </cell>
        </row>
        <row r="199">
          <cell r="A199" t="str">
            <v>001</v>
          </cell>
        </row>
        <row r="200">
          <cell r="A200" t="str">
            <v>001</v>
          </cell>
        </row>
        <row r="201">
          <cell r="A201" t="str">
            <v>001</v>
          </cell>
        </row>
        <row r="202">
          <cell r="A202" t="str">
            <v>001</v>
          </cell>
        </row>
        <row r="203">
          <cell r="A203" t="str">
            <v>001</v>
          </cell>
        </row>
        <row r="204">
          <cell r="A204" t="str">
            <v>001</v>
          </cell>
        </row>
        <row r="205">
          <cell r="A205" t="str">
            <v>001</v>
          </cell>
        </row>
        <row r="206">
          <cell r="A206" t="str">
            <v>001</v>
          </cell>
        </row>
        <row r="207">
          <cell r="A207" t="str">
            <v>001</v>
          </cell>
        </row>
        <row r="208">
          <cell r="A208" t="str">
            <v>001</v>
          </cell>
        </row>
        <row r="209">
          <cell r="A209" t="str">
            <v>001</v>
          </cell>
        </row>
        <row r="210">
          <cell r="A210" t="str">
            <v>001</v>
          </cell>
        </row>
        <row r="211">
          <cell r="A211" t="str">
            <v>001</v>
          </cell>
        </row>
        <row r="212">
          <cell r="A212" t="str">
            <v>001</v>
          </cell>
        </row>
        <row r="213">
          <cell r="A213" t="str">
            <v>001</v>
          </cell>
        </row>
        <row r="214">
          <cell r="A214" t="str">
            <v>001</v>
          </cell>
        </row>
        <row r="215">
          <cell r="A215" t="str">
            <v>001</v>
          </cell>
        </row>
        <row r="216">
          <cell r="A216" t="str">
            <v>001</v>
          </cell>
        </row>
        <row r="217">
          <cell r="A217" t="str">
            <v>001</v>
          </cell>
        </row>
        <row r="218">
          <cell r="A218" t="str">
            <v>001</v>
          </cell>
        </row>
        <row r="219">
          <cell r="A219" t="str">
            <v>001</v>
          </cell>
        </row>
        <row r="220">
          <cell r="A220" t="str">
            <v>001</v>
          </cell>
        </row>
        <row r="221">
          <cell r="A221" t="str">
            <v>001</v>
          </cell>
        </row>
        <row r="222">
          <cell r="A222" t="str">
            <v>001</v>
          </cell>
        </row>
        <row r="223">
          <cell r="A223" t="str">
            <v>001</v>
          </cell>
        </row>
        <row r="224">
          <cell r="A224" t="str">
            <v>001</v>
          </cell>
        </row>
        <row r="225">
          <cell r="A225" t="str">
            <v>001</v>
          </cell>
        </row>
        <row r="226">
          <cell r="A226" t="str">
            <v>001</v>
          </cell>
        </row>
        <row r="227">
          <cell r="A227" t="str">
            <v>001</v>
          </cell>
        </row>
        <row r="228">
          <cell r="A228" t="str">
            <v>001</v>
          </cell>
        </row>
        <row r="229">
          <cell r="A229" t="str">
            <v>001</v>
          </cell>
        </row>
        <row r="230">
          <cell r="A230" t="str">
            <v>001</v>
          </cell>
        </row>
        <row r="231">
          <cell r="A231" t="str">
            <v>001</v>
          </cell>
        </row>
        <row r="232">
          <cell r="A232" t="str">
            <v>001</v>
          </cell>
        </row>
        <row r="233">
          <cell r="A233" t="str">
            <v>001</v>
          </cell>
        </row>
        <row r="234">
          <cell r="A234" t="str">
            <v>001</v>
          </cell>
        </row>
        <row r="235">
          <cell r="A235" t="str">
            <v>001</v>
          </cell>
        </row>
        <row r="236">
          <cell r="A236" t="str">
            <v>001</v>
          </cell>
        </row>
        <row r="237">
          <cell r="A237" t="str">
            <v>001</v>
          </cell>
        </row>
        <row r="238">
          <cell r="A238" t="str">
            <v>001</v>
          </cell>
        </row>
        <row r="239">
          <cell r="A239" t="str">
            <v>001</v>
          </cell>
        </row>
        <row r="240">
          <cell r="A240" t="str">
            <v>001</v>
          </cell>
        </row>
        <row r="241">
          <cell r="A241" t="str">
            <v>001</v>
          </cell>
        </row>
        <row r="242">
          <cell r="A242" t="str">
            <v>001</v>
          </cell>
        </row>
        <row r="243">
          <cell r="A243" t="str">
            <v>001</v>
          </cell>
        </row>
        <row r="244">
          <cell r="A244" t="str">
            <v>001</v>
          </cell>
        </row>
        <row r="245">
          <cell r="A245" t="str">
            <v>001</v>
          </cell>
        </row>
        <row r="246">
          <cell r="A246" t="str">
            <v>001</v>
          </cell>
        </row>
        <row r="247">
          <cell r="A247" t="str">
            <v>001</v>
          </cell>
        </row>
        <row r="248">
          <cell r="A248" t="str">
            <v>001</v>
          </cell>
        </row>
        <row r="249">
          <cell r="A249" t="str">
            <v>001</v>
          </cell>
        </row>
        <row r="250">
          <cell r="A250" t="str">
            <v>001</v>
          </cell>
        </row>
        <row r="251">
          <cell r="A251" t="str">
            <v>001</v>
          </cell>
        </row>
        <row r="252">
          <cell r="A252" t="str">
            <v>001</v>
          </cell>
        </row>
        <row r="253">
          <cell r="A253" t="str">
            <v>001</v>
          </cell>
        </row>
        <row r="254">
          <cell r="A254" t="str">
            <v>001</v>
          </cell>
        </row>
        <row r="255">
          <cell r="A255" t="str">
            <v>001</v>
          </cell>
        </row>
        <row r="256">
          <cell r="A256" t="str">
            <v>001</v>
          </cell>
        </row>
        <row r="257">
          <cell r="A257" t="str">
            <v>001</v>
          </cell>
        </row>
        <row r="258">
          <cell r="A258" t="str">
            <v>001</v>
          </cell>
        </row>
        <row r="259">
          <cell r="A259" t="str">
            <v>001</v>
          </cell>
        </row>
        <row r="260">
          <cell r="A260" t="str">
            <v>001</v>
          </cell>
        </row>
        <row r="261">
          <cell r="A261" t="str">
            <v>001</v>
          </cell>
        </row>
        <row r="262">
          <cell r="A262" t="str">
            <v>001</v>
          </cell>
        </row>
        <row r="263">
          <cell r="A263" t="str">
            <v>001</v>
          </cell>
        </row>
        <row r="264">
          <cell r="A264" t="str">
            <v>001</v>
          </cell>
        </row>
        <row r="265">
          <cell r="A265" t="str">
            <v>001</v>
          </cell>
        </row>
        <row r="266">
          <cell r="A266" t="str">
            <v>001</v>
          </cell>
        </row>
        <row r="267">
          <cell r="A267" t="str">
            <v>001</v>
          </cell>
        </row>
        <row r="268">
          <cell r="A268" t="str">
            <v>001</v>
          </cell>
        </row>
        <row r="269">
          <cell r="A269" t="str">
            <v>001</v>
          </cell>
        </row>
        <row r="270">
          <cell r="A270" t="str">
            <v>001</v>
          </cell>
        </row>
        <row r="271">
          <cell r="A271" t="str">
            <v>001</v>
          </cell>
        </row>
        <row r="272">
          <cell r="A272" t="str">
            <v>001</v>
          </cell>
        </row>
        <row r="273">
          <cell r="A273" t="str">
            <v>001</v>
          </cell>
        </row>
        <row r="274">
          <cell r="A274" t="str">
            <v>001</v>
          </cell>
        </row>
        <row r="275">
          <cell r="A275" t="str">
            <v>001</v>
          </cell>
        </row>
        <row r="276">
          <cell r="A276" t="str">
            <v>001</v>
          </cell>
        </row>
        <row r="277">
          <cell r="A277" t="str">
            <v>001</v>
          </cell>
        </row>
        <row r="278">
          <cell r="A278" t="str">
            <v>001</v>
          </cell>
        </row>
        <row r="279">
          <cell r="A279" t="str">
            <v>001</v>
          </cell>
        </row>
        <row r="280">
          <cell r="A280" t="str">
            <v>001</v>
          </cell>
        </row>
        <row r="281">
          <cell r="A281" t="str">
            <v>001</v>
          </cell>
        </row>
        <row r="282">
          <cell r="A282" t="str">
            <v>001</v>
          </cell>
        </row>
        <row r="283">
          <cell r="A283" t="str">
            <v>001</v>
          </cell>
        </row>
        <row r="284">
          <cell r="A284" t="str">
            <v>001</v>
          </cell>
        </row>
        <row r="285">
          <cell r="A285" t="str">
            <v>001</v>
          </cell>
        </row>
        <row r="286">
          <cell r="A286" t="str">
            <v>001</v>
          </cell>
        </row>
        <row r="287">
          <cell r="A287" t="str">
            <v>001</v>
          </cell>
        </row>
        <row r="288">
          <cell r="A288" t="str">
            <v>001</v>
          </cell>
        </row>
        <row r="289">
          <cell r="A289" t="str">
            <v>001</v>
          </cell>
        </row>
        <row r="290">
          <cell r="A290" t="str">
            <v>001</v>
          </cell>
        </row>
        <row r="291">
          <cell r="A291" t="str">
            <v>001</v>
          </cell>
        </row>
        <row r="292">
          <cell r="A292" t="str">
            <v>001</v>
          </cell>
        </row>
        <row r="293">
          <cell r="A293" t="str">
            <v>001</v>
          </cell>
        </row>
        <row r="294">
          <cell r="A294" t="str">
            <v>001</v>
          </cell>
        </row>
        <row r="295">
          <cell r="A295" t="str">
            <v>001</v>
          </cell>
        </row>
        <row r="296">
          <cell r="A296" t="str">
            <v>001</v>
          </cell>
        </row>
        <row r="297">
          <cell r="A297" t="str">
            <v>001</v>
          </cell>
        </row>
        <row r="298">
          <cell r="A298" t="str">
            <v>001</v>
          </cell>
        </row>
        <row r="299">
          <cell r="A299" t="str">
            <v>001</v>
          </cell>
        </row>
        <row r="300">
          <cell r="A300" t="str">
            <v>001</v>
          </cell>
        </row>
        <row r="301">
          <cell r="A301" t="str">
            <v>001</v>
          </cell>
        </row>
        <row r="302">
          <cell r="A302" t="str">
            <v>001</v>
          </cell>
        </row>
        <row r="303">
          <cell r="A303" t="str">
            <v>001</v>
          </cell>
        </row>
        <row r="304">
          <cell r="A304" t="str">
            <v>001</v>
          </cell>
        </row>
        <row r="305">
          <cell r="A305" t="str">
            <v>001</v>
          </cell>
        </row>
        <row r="306">
          <cell r="A306" t="str">
            <v>001</v>
          </cell>
        </row>
        <row r="307">
          <cell r="A307" t="str">
            <v>001</v>
          </cell>
        </row>
        <row r="308">
          <cell r="A308" t="str">
            <v>001</v>
          </cell>
        </row>
        <row r="309">
          <cell r="A309" t="str">
            <v>001</v>
          </cell>
        </row>
        <row r="310">
          <cell r="A310" t="str">
            <v>001</v>
          </cell>
        </row>
        <row r="311">
          <cell r="A311" t="str">
            <v>001</v>
          </cell>
        </row>
        <row r="312">
          <cell r="A312" t="str">
            <v>001</v>
          </cell>
        </row>
        <row r="313">
          <cell r="A313" t="str">
            <v>001</v>
          </cell>
        </row>
        <row r="314">
          <cell r="A314" t="str">
            <v>001</v>
          </cell>
        </row>
        <row r="315">
          <cell r="A315" t="str">
            <v>001</v>
          </cell>
        </row>
        <row r="316">
          <cell r="A316" t="str">
            <v>001</v>
          </cell>
        </row>
        <row r="317">
          <cell r="A317" t="str">
            <v>001</v>
          </cell>
        </row>
        <row r="318">
          <cell r="A318" t="str">
            <v>001</v>
          </cell>
        </row>
        <row r="319">
          <cell r="A319" t="str">
            <v>001</v>
          </cell>
        </row>
        <row r="320">
          <cell r="A320" t="str">
            <v>001</v>
          </cell>
        </row>
        <row r="321">
          <cell r="A321" t="str">
            <v>001</v>
          </cell>
        </row>
        <row r="322">
          <cell r="A322" t="str">
            <v>001</v>
          </cell>
        </row>
        <row r="323">
          <cell r="A323" t="str">
            <v>001</v>
          </cell>
        </row>
        <row r="324">
          <cell r="A324" t="str">
            <v>001</v>
          </cell>
        </row>
        <row r="325">
          <cell r="A325" t="str">
            <v>001</v>
          </cell>
        </row>
        <row r="326">
          <cell r="A326" t="str">
            <v>001</v>
          </cell>
        </row>
        <row r="327">
          <cell r="A327" t="str">
            <v>001</v>
          </cell>
        </row>
        <row r="328">
          <cell r="A328" t="str">
            <v>001</v>
          </cell>
        </row>
        <row r="329">
          <cell r="A329" t="str">
            <v>001</v>
          </cell>
        </row>
        <row r="330">
          <cell r="A330" t="str">
            <v>001</v>
          </cell>
        </row>
        <row r="331">
          <cell r="A331" t="str">
            <v>001</v>
          </cell>
        </row>
        <row r="332">
          <cell r="A332" t="str">
            <v>001</v>
          </cell>
        </row>
        <row r="333">
          <cell r="A333" t="str">
            <v>001</v>
          </cell>
        </row>
        <row r="334">
          <cell r="A334" t="str">
            <v>001</v>
          </cell>
        </row>
        <row r="335">
          <cell r="A335" t="str">
            <v>001</v>
          </cell>
        </row>
        <row r="336">
          <cell r="A336" t="str">
            <v>001</v>
          </cell>
        </row>
        <row r="337">
          <cell r="A337" t="str">
            <v>001</v>
          </cell>
        </row>
        <row r="338">
          <cell r="A338" t="str">
            <v>001</v>
          </cell>
        </row>
        <row r="339">
          <cell r="A339" t="str">
            <v>001</v>
          </cell>
        </row>
        <row r="340">
          <cell r="A340" t="str">
            <v>001</v>
          </cell>
        </row>
        <row r="341">
          <cell r="A341" t="str">
            <v>001</v>
          </cell>
        </row>
        <row r="342">
          <cell r="A342" t="str">
            <v>001</v>
          </cell>
        </row>
        <row r="343">
          <cell r="A343" t="str">
            <v>001</v>
          </cell>
        </row>
        <row r="344">
          <cell r="A344" t="str">
            <v>001</v>
          </cell>
        </row>
        <row r="345">
          <cell r="A345" t="str">
            <v>001</v>
          </cell>
        </row>
        <row r="346">
          <cell r="A346" t="str">
            <v>001</v>
          </cell>
        </row>
        <row r="347">
          <cell r="A347" t="str">
            <v>001</v>
          </cell>
        </row>
        <row r="348">
          <cell r="A348" t="str">
            <v>001</v>
          </cell>
        </row>
        <row r="349">
          <cell r="A349" t="str">
            <v>001</v>
          </cell>
        </row>
        <row r="350">
          <cell r="A350" t="str">
            <v>001</v>
          </cell>
        </row>
        <row r="351">
          <cell r="A351" t="str">
            <v>001</v>
          </cell>
        </row>
        <row r="352">
          <cell r="A352" t="str">
            <v>001</v>
          </cell>
        </row>
        <row r="353">
          <cell r="A353" t="str">
            <v>001</v>
          </cell>
        </row>
        <row r="354">
          <cell r="A354" t="str">
            <v>001</v>
          </cell>
        </row>
        <row r="355">
          <cell r="A355" t="str">
            <v>001</v>
          </cell>
        </row>
        <row r="356">
          <cell r="A356" t="str">
            <v>001</v>
          </cell>
        </row>
        <row r="357">
          <cell r="A357" t="str">
            <v>001</v>
          </cell>
        </row>
        <row r="358">
          <cell r="A358" t="str">
            <v>001</v>
          </cell>
        </row>
        <row r="359">
          <cell r="A359" t="str">
            <v>001</v>
          </cell>
        </row>
        <row r="360">
          <cell r="A360" t="str">
            <v>001</v>
          </cell>
        </row>
        <row r="361">
          <cell r="A361" t="str">
            <v>001</v>
          </cell>
        </row>
        <row r="362">
          <cell r="A362" t="str">
            <v>001</v>
          </cell>
        </row>
        <row r="363">
          <cell r="A363" t="str">
            <v>001</v>
          </cell>
        </row>
        <row r="364">
          <cell r="A364" t="str">
            <v>001</v>
          </cell>
        </row>
        <row r="365">
          <cell r="A365" t="str">
            <v>001</v>
          </cell>
        </row>
        <row r="366">
          <cell r="A366" t="str">
            <v>001</v>
          </cell>
        </row>
        <row r="367">
          <cell r="A367" t="str">
            <v>001</v>
          </cell>
        </row>
        <row r="368">
          <cell r="A368" t="str">
            <v>001</v>
          </cell>
        </row>
        <row r="369">
          <cell r="A369" t="str">
            <v>001</v>
          </cell>
        </row>
        <row r="370">
          <cell r="A370" t="str">
            <v>001</v>
          </cell>
        </row>
        <row r="371">
          <cell r="A371" t="str">
            <v>001</v>
          </cell>
        </row>
        <row r="372">
          <cell r="A372" t="str">
            <v>001</v>
          </cell>
        </row>
        <row r="373">
          <cell r="A373" t="str">
            <v>001</v>
          </cell>
        </row>
        <row r="374">
          <cell r="A374" t="str">
            <v>001</v>
          </cell>
        </row>
        <row r="375">
          <cell r="A375" t="str">
            <v>001</v>
          </cell>
        </row>
        <row r="376">
          <cell r="A376" t="str">
            <v>001</v>
          </cell>
        </row>
        <row r="377">
          <cell r="A377" t="str">
            <v>001</v>
          </cell>
        </row>
        <row r="378">
          <cell r="A378" t="str">
            <v>001</v>
          </cell>
        </row>
        <row r="379">
          <cell r="A379" t="str">
            <v>001</v>
          </cell>
        </row>
        <row r="380">
          <cell r="A380" t="str">
            <v>001</v>
          </cell>
        </row>
        <row r="381">
          <cell r="A381" t="str">
            <v>001</v>
          </cell>
        </row>
        <row r="382">
          <cell r="A382" t="str">
            <v>001</v>
          </cell>
        </row>
        <row r="383">
          <cell r="A383" t="str">
            <v>001</v>
          </cell>
        </row>
        <row r="384">
          <cell r="A384" t="str">
            <v>001</v>
          </cell>
        </row>
        <row r="385">
          <cell r="A385" t="str">
            <v>001</v>
          </cell>
        </row>
        <row r="386">
          <cell r="A386" t="str">
            <v>001</v>
          </cell>
        </row>
        <row r="387">
          <cell r="A387" t="str">
            <v>001</v>
          </cell>
        </row>
        <row r="388">
          <cell r="A388" t="str">
            <v>001</v>
          </cell>
        </row>
        <row r="389">
          <cell r="A389" t="str">
            <v>001</v>
          </cell>
        </row>
        <row r="390">
          <cell r="A390" t="str">
            <v>001</v>
          </cell>
        </row>
        <row r="391">
          <cell r="A391" t="str">
            <v>001</v>
          </cell>
        </row>
        <row r="392">
          <cell r="A392" t="str">
            <v>001</v>
          </cell>
        </row>
        <row r="393">
          <cell r="A393" t="str">
            <v>001</v>
          </cell>
        </row>
        <row r="394">
          <cell r="A394" t="str">
            <v>001</v>
          </cell>
        </row>
        <row r="395">
          <cell r="A395" t="str">
            <v>001</v>
          </cell>
        </row>
        <row r="396">
          <cell r="A396" t="str">
            <v>001</v>
          </cell>
        </row>
        <row r="397">
          <cell r="A397" t="str">
            <v>001</v>
          </cell>
        </row>
        <row r="398">
          <cell r="A398" t="str">
            <v>001</v>
          </cell>
        </row>
        <row r="399">
          <cell r="A399" t="str">
            <v>001</v>
          </cell>
        </row>
        <row r="400">
          <cell r="A400" t="str">
            <v>001</v>
          </cell>
        </row>
        <row r="401">
          <cell r="A401" t="str">
            <v>001</v>
          </cell>
        </row>
        <row r="402">
          <cell r="A402" t="str">
            <v>001</v>
          </cell>
        </row>
        <row r="403">
          <cell r="A403" t="str">
            <v>001</v>
          </cell>
        </row>
        <row r="404">
          <cell r="A404" t="str">
            <v>001</v>
          </cell>
        </row>
        <row r="405">
          <cell r="A405" t="str">
            <v>001</v>
          </cell>
        </row>
        <row r="406">
          <cell r="A406" t="str">
            <v>001</v>
          </cell>
        </row>
        <row r="407">
          <cell r="A407" t="str">
            <v>001</v>
          </cell>
        </row>
        <row r="408">
          <cell r="A408" t="str">
            <v>001</v>
          </cell>
        </row>
        <row r="409">
          <cell r="A409" t="str">
            <v>001</v>
          </cell>
        </row>
        <row r="410">
          <cell r="A410" t="str">
            <v>001</v>
          </cell>
        </row>
        <row r="411">
          <cell r="A411" t="str">
            <v>001</v>
          </cell>
        </row>
        <row r="412">
          <cell r="A412" t="str">
            <v>001</v>
          </cell>
        </row>
        <row r="413">
          <cell r="A413" t="str">
            <v>001</v>
          </cell>
        </row>
        <row r="414">
          <cell r="A414" t="str">
            <v>001</v>
          </cell>
        </row>
        <row r="415">
          <cell r="A415" t="str">
            <v>001</v>
          </cell>
        </row>
        <row r="416">
          <cell r="A416" t="str">
            <v>001</v>
          </cell>
        </row>
        <row r="417">
          <cell r="A417" t="str">
            <v>001</v>
          </cell>
        </row>
        <row r="418">
          <cell r="A418" t="str">
            <v>001</v>
          </cell>
        </row>
        <row r="419">
          <cell r="A419" t="str">
            <v>001</v>
          </cell>
        </row>
        <row r="420">
          <cell r="A420" t="str">
            <v>001</v>
          </cell>
        </row>
        <row r="421">
          <cell r="A421" t="str">
            <v>001</v>
          </cell>
        </row>
        <row r="422">
          <cell r="A422" t="str">
            <v>001</v>
          </cell>
        </row>
        <row r="423">
          <cell r="A423" t="str">
            <v>001</v>
          </cell>
        </row>
        <row r="424">
          <cell r="A424" t="str">
            <v>001</v>
          </cell>
        </row>
        <row r="425">
          <cell r="A425" t="str">
            <v>001</v>
          </cell>
        </row>
        <row r="426">
          <cell r="A426" t="str">
            <v>001</v>
          </cell>
        </row>
        <row r="427">
          <cell r="A427" t="str">
            <v>001</v>
          </cell>
        </row>
        <row r="428">
          <cell r="A428" t="str">
            <v>001</v>
          </cell>
        </row>
        <row r="429">
          <cell r="A429" t="str">
            <v>001</v>
          </cell>
        </row>
        <row r="430">
          <cell r="A430" t="str">
            <v>001</v>
          </cell>
        </row>
        <row r="431">
          <cell r="A431" t="str">
            <v>001</v>
          </cell>
        </row>
        <row r="432">
          <cell r="A432" t="str">
            <v>001</v>
          </cell>
        </row>
        <row r="433">
          <cell r="A433" t="str">
            <v>001</v>
          </cell>
        </row>
        <row r="434">
          <cell r="A434" t="str">
            <v>001</v>
          </cell>
        </row>
        <row r="435">
          <cell r="A435" t="str">
            <v>001</v>
          </cell>
        </row>
        <row r="436">
          <cell r="A436" t="str">
            <v>001</v>
          </cell>
        </row>
        <row r="437">
          <cell r="A437" t="str">
            <v>001</v>
          </cell>
        </row>
        <row r="438">
          <cell r="A438" t="str">
            <v>001</v>
          </cell>
        </row>
        <row r="439">
          <cell r="A439" t="str">
            <v>001</v>
          </cell>
        </row>
        <row r="440">
          <cell r="A440" t="str">
            <v>001</v>
          </cell>
        </row>
        <row r="441">
          <cell r="A441" t="str">
            <v>001</v>
          </cell>
        </row>
        <row r="442">
          <cell r="A442" t="str">
            <v>001</v>
          </cell>
        </row>
        <row r="443">
          <cell r="A443" t="str">
            <v>001</v>
          </cell>
        </row>
        <row r="444">
          <cell r="A444" t="str">
            <v>001</v>
          </cell>
        </row>
        <row r="445">
          <cell r="A445" t="str">
            <v>001</v>
          </cell>
        </row>
        <row r="446">
          <cell r="A446" t="str">
            <v>001</v>
          </cell>
        </row>
        <row r="447">
          <cell r="A447" t="str">
            <v>001</v>
          </cell>
        </row>
        <row r="448">
          <cell r="A448" t="str">
            <v>001</v>
          </cell>
        </row>
        <row r="449">
          <cell r="A449" t="str">
            <v>001</v>
          </cell>
        </row>
        <row r="450">
          <cell r="A450" t="str">
            <v>001</v>
          </cell>
        </row>
        <row r="451">
          <cell r="A451" t="str">
            <v>001</v>
          </cell>
        </row>
        <row r="452">
          <cell r="A452" t="str">
            <v>001</v>
          </cell>
        </row>
        <row r="453">
          <cell r="A453" t="str">
            <v>001</v>
          </cell>
        </row>
        <row r="454">
          <cell r="A454" t="str">
            <v>001</v>
          </cell>
        </row>
        <row r="455">
          <cell r="A455" t="str">
            <v>001</v>
          </cell>
        </row>
        <row r="456">
          <cell r="A456" t="str">
            <v>001</v>
          </cell>
        </row>
        <row r="457">
          <cell r="A457" t="str">
            <v>001</v>
          </cell>
        </row>
        <row r="458">
          <cell r="A458" t="str">
            <v>001</v>
          </cell>
        </row>
        <row r="459">
          <cell r="A459" t="str">
            <v>001</v>
          </cell>
        </row>
        <row r="460">
          <cell r="A460" t="str">
            <v>001</v>
          </cell>
        </row>
        <row r="461">
          <cell r="A461" t="str">
            <v>001</v>
          </cell>
        </row>
        <row r="462">
          <cell r="A462" t="str">
            <v>001</v>
          </cell>
        </row>
        <row r="463">
          <cell r="A463" t="str">
            <v>001</v>
          </cell>
        </row>
        <row r="464">
          <cell r="A464" t="str">
            <v>001</v>
          </cell>
        </row>
        <row r="465">
          <cell r="A465" t="str">
            <v>001</v>
          </cell>
        </row>
        <row r="466">
          <cell r="A466" t="str">
            <v>001</v>
          </cell>
        </row>
        <row r="467">
          <cell r="A467" t="str">
            <v>001</v>
          </cell>
        </row>
        <row r="468">
          <cell r="A468" t="str">
            <v>001</v>
          </cell>
        </row>
        <row r="469">
          <cell r="A469" t="str">
            <v>001</v>
          </cell>
        </row>
        <row r="470">
          <cell r="A470" t="str">
            <v>001</v>
          </cell>
        </row>
        <row r="471">
          <cell r="A471" t="str">
            <v>001</v>
          </cell>
        </row>
        <row r="472">
          <cell r="A472" t="str">
            <v>001</v>
          </cell>
        </row>
        <row r="473">
          <cell r="A473" t="str">
            <v>001</v>
          </cell>
        </row>
        <row r="474">
          <cell r="A474" t="str">
            <v>001</v>
          </cell>
        </row>
        <row r="475">
          <cell r="A475" t="str">
            <v>001</v>
          </cell>
        </row>
        <row r="476">
          <cell r="A476" t="str">
            <v>001</v>
          </cell>
        </row>
        <row r="477">
          <cell r="A477" t="str">
            <v>001</v>
          </cell>
        </row>
        <row r="478">
          <cell r="A478" t="str">
            <v>001</v>
          </cell>
        </row>
        <row r="479">
          <cell r="A479" t="str">
            <v>001</v>
          </cell>
        </row>
        <row r="480">
          <cell r="A480" t="str">
            <v>001</v>
          </cell>
        </row>
        <row r="481">
          <cell r="A481" t="str">
            <v>001</v>
          </cell>
        </row>
        <row r="482">
          <cell r="A482" t="str">
            <v>001</v>
          </cell>
        </row>
        <row r="483">
          <cell r="A483" t="str">
            <v>001</v>
          </cell>
        </row>
        <row r="484">
          <cell r="A484" t="str">
            <v>001</v>
          </cell>
        </row>
        <row r="485">
          <cell r="A485" t="str">
            <v>001</v>
          </cell>
        </row>
        <row r="486">
          <cell r="A486" t="str">
            <v>001</v>
          </cell>
        </row>
        <row r="487">
          <cell r="A487" t="str">
            <v>001</v>
          </cell>
        </row>
        <row r="488">
          <cell r="A488" t="str">
            <v>001</v>
          </cell>
        </row>
        <row r="489">
          <cell r="A489" t="str">
            <v>001</v>
          </cell>
        </row>
        <row r="490">
          <cell r="A490" t="str">
            <v>001</v>
          </cell>
        </row>
        <row r="491">
          <cell r="A491" t="str">
            <v>001</v>
          </cell>
        </row>
        <row r="492">
          <cell r="A492" t="str">
            <v>001</v>
          </cell>
        </row>
        <row r="493">
          <cell r="A493" t="str">
            <v>001</v>
          </cell>
        </row>
        <row r="494">
          <cell r="A494" t="str">
            <v>001</v>
          </cell>
        </row>
        <row r="495">
          <cell r="A495" t="str">
            <v>001</v>
          </cell>
        </row>
        <row r="496">
          <cell r="A496" t="str">
            <v>001</v>
          </cell>
        </row>
        <row r="497">
          <cell r="A497" t="str">
            <v>001</v>
          </cell>
        </row>
        <row r="498">
          <cell r="A498" t="str">
            <v>001</v>
          </cell>
        </row>
        <row r="499">
          <cell r="A499" t="str">
            <v>001</v>
          </cell>
        </row>
        <row r="500">
          <cell r="A500" t="str">
            <v>001</v>
          </cell>
        </row>
        <row r="501">
          <cell r="A501" t="str">
            <v>001</v>
          </cell>
        </row>
        <row r="502">
          <cell r="A502" t="str">
            <v>001</v>
          </cell>
        </row>
        <row r="503">
          <cell r="A503" t="str">
            <v>001</v>
          </cell>
        </row>
        <row r="504">
          <cell r="A504" t="str">
            <v>001</v>
          </cell>
        </row>
        <row r="505">
          <cell r="A505" t="str">
            <v>001</v>
          </cell>
        </row>
        <row r="506">
          <cell r="A506" t="str">
            <v>001</v>
          </cell>
        </row>
        <row r="507">
          <cell r="A507" t="str">
            <v>001</v>
          </cell>
        </row>
        <row r="508">
          <cell r="A508" t="str">
            <v>001</v>
          </cell>
        </row>
        <row r="509">
          <cell r="A509" t="str">
            <v>001</v>
          </cell>
        </row>
        <row r="510">
          <cell r="A510" t="str">
            <v>001</v>
          </cell>
        </row>
        <row r="511">
          <cell r="A511" t="str">
            <v>001</v>
          </cell>
        </row>
        <row r="512">
          <cell r="A512" t="str">
            <v>001</v>
          </cell>
        </row>
        <row r="513">
          <cell r="A513" t="str">
            <v>001</v>
          </cell>
        </row>
        <row r="514">
          <cell r="A514" t="str">
            <v>001</v>
          </cell>
        </row>
        <row r="515">
          <cell r="A515" t="str">
            <v>001</v>
          </cell>
        </row>
        <row r="516">
          <cell r="A516" t="str">
            <v>001</v>
          </cell>
        </row>
        <row r="517">
          <cell r="A517" t="str">
            <v>001</v>
          </cell>
        </row>
        <row r="518">
          <cell r="A518" t="str">
            <v>001</v>
          </cell>
        </row>
        <row r="519">
          <cell r="A519" t="str">
            <v>001</v>
          </cell>
        </row>
        <row r="520">
          <cell r="A520" t="str">
            <v>001</v>
          </cell>
        </row>
        <row r="521">
          <cell r="A521" t="str">
            <v>001</v>
          </cell>
        </row>
        <row r="522">
          <cell r="A522" t="str">
            <v>001</v>
          </cell>
        </row>
        <row r="523">
          <cell r="A523" t="str">
            <v>001</v>
          </cell>
        </row>
        <row r="524">
          <cell r="A524" t="str">
            <v>001</v>
          </cell>
        </row>
        <row r="525">
          <cell r="A525" t="str">
            <v>001</v>
          </cell>
        </row>
        <row r="526">
          <cell r="A526" t="str">
            <v>001</v>
          </cell>
        </row>
        <row r="527">
          <cell r="A527" t="str">
            <v>001</v>
          </cell>
        </row>
        <row r="528">
          <cell r="A528" t="str">
            <v>001</v>
          </cell>
        </row>
        <row r="529">
          <cell r="A529" t="str">
            <v>001</v>
          </cell>
        </row>
        <row r="530">
          <cell r="A530" t="str">
            <v>001</v>
          </cell>
        </row>
        <row r="531">
          <cell r="A531" t="str">
            <v>001</v>
          </cell>
        </row>
        <row r="532">
          <cell r="A532" t="str">
            <v>001</v>
          </cell>
        </row>
        <row r="533">
          <cell r="A533" t="str">
            <v>001</v>
          </cell>
        </row>
        <row r="534">
          <cell r="A534" t="str">
            <v>001</v>
          </cell>
        </row>
        <row r="535">
          <cell r="A535" t="str">
            <v>001</v>
          </cell>
        </row>
        <row r="536">
          <cell r="A536" t="str">
            <v>001</v>
          </cell>
        </row>
        <row r="537">
          <cell r="A537" t="str">
            <v>001</v>
          </cell>
        </row>
        <row r="538">
          <cell r="A538" t="str">
            <v>001</v>
          </cell>
        </row>
        <row r="539">
          <cell r="A539" t="str">
            <v>001</v>
          </cell>
        </row>
        <row r="540">
          <cell r="A540" t="str">
            <v>001</v>
          </cell>
        </row>
        <row r="541">
          <cell r="A541" t="str">
            <v>001</v>
          </cell>
        </row>
        <row r="542">
          <cell r="A542" t="str">
            <v>001</v>
          </cell>
        </row>
        <row r="543">
          <cell r="A543" t="str">
            <v>001</v>
          </cell>
        </row>
        <row r="544">
          <cell r="A544" t="str">
            <v>001</v>
          </cell>
        </row>
        <row r="545">
          <cell r="A545" t="str">
            <v>001</v>
          </cell>
        </row>
        <row r="546">
          <cell r="A546" t="str">
            <v>001</v>
          </cell>
        </row>
        <row r="547">
          <cell r="A547" t="str">
            <v>001</v>
          </cell>
        </row>
        <row r="548">
          <cell r="A548" t="str">
            <v>001</v>
          </cell>
        </row>
        <row r="549">
          <cell r="A549" t="str">
            <v>001</v>
          </cell>
        </row>
        <row r="550">
          <cell r="A550" t="str">
            <v>001</v>
          </cell>
        </row>
        <row r="551">
          <cell r="A551" t="str">
            <v>001</v>
          </cell>
        </row>
        <row r="552">
          <cell r="A552" t="str">
            <v>001</v>
          </cell>
        </row>
        <row r="553">
          <cell r="A553" t="str">
            <v>001</v>
          </cell>
        </row>
        <row r="554">
          <cell r="A554" t="str">
            <v>001</v>
          </cell>
        </row>
        <row r="555">
          <cell r="A555" t="str">
            <v>001</v>
          </cell>
        </row>
        <row r="556">
          <cell r="A556" t="str">
            <v>001</v>
          </cell>
        </row>
        <row r="557">
          <cell r="A557" t="str">
            <v>001</v>
          </cell>
        </row>
        <row r="558">
          <cell r="A558" t="str">
            <v>001</v>
          </cell>
        </row>
        <row r="559">
          <cell r="A559" t="str">
            <v>001</v>
          </cell>
        </row>
        <row r="560">
          <cell r="A560" t="str">
            <v>001</v>
          </cell>
        </row>
        <row r="561">
          <cell r="A561" t="str">
            <v>001</v>
          </cell>
        </row>
        <row r="562">
          <cell r="A562" t="str">
            <v>001</v>
          </cell>
        </row>
        <row r="563">
          <cell r="A563" t="str">
            <v>001</v>
          </cell>
        </row>
        <row r="564">
          <cell r="A564" t="str">
            <v>001</v>
          </cell>
        </row>
        <row r="565">
          <cell r="A565" t="str">
            <v>001</v>
          </cell>
        </row>
        <row r="566">
          <cell r="A566" t="str">
            <v>001</v>
          </cell>
        </row>
        <row r="567">
          <cell r="A567" t="str">
            <v>001</v>
          </cell>
        </row>
        <row r="568">
          <cell r="A568" t="str">
            <v>001</v>
          </cell>
        </row>
        <row r="569">
          <cell r="A569" t="str">
            <v>001</v>
          </cell>
        </row>
        <row r="570">
          <cell r="A570" t="str">
            <v>001</v>
          </cell>
        </row>
        <row r="571">
          <cell r="A571" t="str">
            <v>001</v>
          </cell>
        </row>
        <row r="572">
          <cell r="A572" t="str">
            <v>001</v>
          </cell>
        </row>
        <row r="573">
          <cell r="A573" t="str">
            <v>001</v>
          </cell>
        </row>
        <row r="574">
          <cell r="A574" t="str">
            <v>001</v>
          </cell>
        </row>
        <row r="575">
          <cell r="A575" t="str">
            <v>001</v>
          </cell>
        </row>
        <row r="576">
          <cell r="A576" t="str">
            <v>001</v>
          </cell>
        </row>
        <row r="577">
          <cell r="A577" t="str">
            <v>001</v>
          </cell>
        </row>
        <row r="578">
          <cell r="A578" t="str">
            <v>001</v>
          </cell>
        </row>
        <row r="579">
          <cell r="A579" t="str">
            <v>001</v>
          </cell>
        </row>
        <row r="580">
          <cell r="A580" t="str">
            <v>001</v>
          </cell>
        </row>
        <row r="581">
          <cell r="A581" t="str">
            <v>001</v>
          </cell>
        </row>
        <row r="582">
          <cell r="A582" t="str">
            <v>001</v>
          </cell>
        </row>
        <row r="583">
          <cell r="A583" t="str">
            <v>001</v>
          </cell>
        </row>
        <row r="584">
          <cell r="A584" t="str">
            <v>001</v>
          </cell>
        </row>
        <row r="585">
          <cell r="A585" t="str">
            <v>001</v>
          </cell>
        </row>
        <row r="586">
          <cell r="A586" t="str">
            <v>001</v>
          </cell>
        </row>
        <row r="587">
          <cell r="A587" t="str">
            <v>001</v>
          </cell>
        </row>
        <row r="588">
          <cell r="A588" t="str">
            <v>001</v>
          </cell>
        </row>
        <row r="589">
          <cell r="A589" t="str">
            <v>001</v>
          </cell>
        </row>
        <row r="590">
          <cell r="A590" t="str">
            <v>001</v>
          </cell>
        </row>
        <row r="591">
          <cell r="A591" t="str">
            <v>001</v>
          </cell>
        </row>
        <row r="592">
          <cell r="A592" t="str">
            <v>001</v>
          </cell>
        </row>
        <row r="593">
          <cell r="A593" t="str">
            <v>001</v>
          </cell>
        </row>
        <row r="594">
          <cell r="A594" t="str">
            <v>001</v>
          </cell>
        </row>
        <row r="595">
          <cell r="A595" t="str">
            <v>001</v>
          </cell>
        </row>
        <row r="596">
          <cell r="A596" t="str">
            <v>001</v>
          </cell>
        </row>
        <row r="597">
          <cell r="A597" t="str">
            <v>001</v>
          </cell>
        </row>
        <row r="598">
          <cell r="A598" t="str">
            <v>001</v>
          </cell>
        </row>
        <row r="599">
          <cell r="A599" t="str">
            <v>001</v>
          </cell>
        </row>
        <row r="600">
          <cell r="A600" t="str">
            <v>001</v>
          </cell>
        </row>
        <row r="601">
          <cell r="A601" t="str">
            <v>001</v>
          </cell>
        </row>
        <row r="602">
          <cell r="A602" t="str">
            <v>001</v>
          </cell>
        </row>
        <row r="603">
          <cell r="A603" t="str">
            <v>001</v>
          </cell>
        </row>
        <row r="604">
          <cell r="A604" t="str">
            <v>001</v>
          </cell>
        </row>
        <row r="605">
          <cell r="A605" t="str">
            <v>001</v>
          </cell>
        </row>
        <row r="606">
          <cell r="A606" t="str">
            <v>001</v>
          </cell>
        </row>
        <row r="607">
          <cell r="A607" t="str">
            <v>001</v>
          </cell>
        </row>
        <row r="608">
          <cell r="A608" t="str">
            <v>001</v>
          </cell>
        </row>
        <row r="609">
          <cell r="A609" t="str">
            <v>001</v>
          </cell>
        </row>
        <row r="610">
          <cell r="A610" t="str">
            <v>001</v>
          </cell>
        </row>
        <row r="611">
          <cell r="A611" t="str">
            <v>001</v>
          </cell>
        </row>
        <row r="612">
          <cell r="A612" t="str">
            <v>001</v>
          </cell>
        </row>
        <row r="613">
          <cell r="A613" t="str">
            <v>001</v>
          </cell>
        </row>
        <row r="614">
          <cell r="A614" t="str">
            <v>001</v>
          </cell>
        </row>
        <row r="615">
          <cell r="A615" t="str">
            <v>001</v>
          </cell>
        </row>
        <row r="616">
          <cell r="A616" t="str">
            <v>001</v>
          </cell>
        </row>
        <row r="617">
          <cell r="A617" t="str">
            <v>001</v>
          </cell>
        </row>
        <row r="618">
          <cell r="A618" t="str">
            <v>001</v>
          </cell>
        </row>
        <row r="619">
          <cell r="A619" t="str">
            <v>001</v>
          </cell>
        </row>
        <row r="620">
          <cell r="A620" t="str">
            <v>001</v>
          </cell>
        </row>
        <row r="621">
          <cell r="A621" t="str">
            <v>001</v>
          </cell>
        </row>
        <row r="622">
          <cell r="A622" t="str">
            <v>001</v>
          </cell>
        </row>
        <row r="623">
          <cell r="A623" t="str">
            <v>001</v>
          </cell>
        </row>
        <row r="624">
          <cell r="A624" t="str">
            <v>001</v>
          </cell>
        </row>
        <row r="625">
          <cell r="A625" t="str">
            <v>001</v>
          </cell>
        </row>
        <row r="626">
          <cell r="A626" t="str">
            <v>001</v>
          </cell>
        </row>
        <row r="627">
          <cell r="A627" t="str">
            <v>001</v>
          </cell>
        </row>
        <row r="628">
          <cell r="A628" t="str">
            <v>001</v>
          </cell>
        </row>
        <row r="629">
          <cell r="A629" t="str">
            <v>001</v>
          </cell>
        </row>
        <row r="630">
          <cell r="A630" t="str">
            <v>001</v>
          </cell>
        </row>
        <row r="631">
          <cell r="A631" t="str">
            <v>001</v>
          </cell>
        </row>
        <row r="632">
          <cell r="A632" t="str">
            <v>001</v>
          </cell>
        </row>
        <row r="633">
          <cell r="A633" t="str">
            <v>001</v>
          </cell>
        </row>
        <row r="634">
          <cell r="A634" t="str">
            <v>001</v>
          </cell>
        </row>
        <row r="635">
          <cell r="A635" t="str">
            <v>001</v>
          </cell>
        </row>
        <row r="636">
          <cell r="A636" t="str">
            <v>001</v>
          </cell>
        </row>
        <row r="637">
          <cell r="A637" t="str">
            <v>001</v>
          </cell>
        </row>
        <row r="638">
          <cell r="A638" t="str">
            <v>001</v>
          </cell>
        </row>
        <row r="639">
          <cell r="A639" t="str">
            <v>001</v>
          </cell>
        </row>
        <row r="640">
          <cell r="A640" t="str">
            <v>001</v>
          </cell>
        </row>
        <row r="641">
          <cell r="A641" t="str">
            <v>001</v>
          </cell>
        </row>
        <row r="642">
          <cell r="A642" t="str">
            <v>001</v>
          </cell>
        </row>
        <row r="643">
          <cell r="A643" t="str">
            <v>001</v>
          </cell>
        </row>
        <row r="644">
          <cell r="A644" t="str">
            <v>001</v>
          </cell>
        </row>
        <row r="645">
          <cell r="A645" t="str">
            <v>001</v>
          </cell>
        </row>
        <row r="646">
          <cell r="A646" t="str">
            <v>001</v>
          </cell>
        </row>
        <row r="647">
          <cell r="A647" t="str">
            <v>001</v>
          </cell>
        </row>
        <row r="648">
          <cell r="A648" t="str">
            <v>001</v>
          </cell>
        </row>
        <row r="649">
          <cell r="A649" t="str">
            <v>001</v>
          </cell>
        </row>
        <row r="650">
          <cell r="A650" t="str">
            <v>001</v>
          </cell>
        </row>
        <row r="651">
          <cell r="A651" t="str">
            <v>001</v>
          </cell>
        </row>
        <row r="652">
          <cell r="A652" t="str">
            <v>001</v>
          </cell>
        </row>
        <row r="653">
          <cell r="A653" t="str">
            <v>001</v>
          </cell>
        </row>
        <row r="654">
          <cell r="A654" t="str">
            <v>001</v>
          </cell>
        </row>
        <row r="655">
          <cell r="A655" t="str">
            <v>001</v>
          </cell>
        </row>
        <row r="656">
          <cell r="A656" t="str">
            <v>001</v>
          </cell>
        </row>
        <row r="657">
          <cell r="A657" t="str">
            <v>001</v>
          </cell>
        </row>
        <row r="658">
          <cell r="A658" t="str">
            <v>001</v>
          </cell>
        </row>
        <row r="659">
          <cell r="A659" t="str">
            <v>001</v>
          </cell>
        </row>
        <row r="660">
          <cell r="A660" t="str">
            <v>001</v>
          </cell>
        </row>
        <row r="661">
          <cell r="A661" t="str">
            <v>001</v>
          </cell>
        </row>
        <row r="662">
          <cell r="A662" t="str">
            <v>001</v>
          </cell>
        </row>
        <row r="663">
          <cell r="A663" t="str">
            <v>001</v>
          </cell>
        </row>
        <row r="664">
          <cell r="A664" t="str">
            <v>001</v>
          </cell>
        </row>
        <row r="665">
          <cell r="A665" t="str">
            <v>001</v>
          </cell>
        </row>
        <row r="666">
          <cell r="A666" t="str">
            <v>001</v>
          </cell>
        </row>
        <row r="667">
          <cell r="A667" t="str">
            <v>001</v>
          </cell>
        </row>
        <row r="668">
          <cell r="A668" t="str">
            <v>001</v>
          </cell>
        </row>
        <row r="669">
          <cell r="A669" t="str">
            <v>001</v>
          </cell>
        </row>
        <row r="670">
          <cell r="A670" t="str">
            <v>001</v>
          </cell>
        </row>
        <row r="671">
          <cell r="A671" t="str">
            <v>001</v>
          </cell>
        </row>
        <row r="672">
          <cell r="A672" t="str">
            <v>001</v>
          </cell>
        </row>
        <row r="673">
          <cell r="A673" t="str">
            <v>001</v>
          </cell>
        </row>
        <row r="674">
          <cell r="A674" t="str">
            <v>001</v>
          </cell>
        </row>
        <row r="675">
          <cell r="A675" t="str">
            <v>001</v>
          </cell>
        </row>
        <row r="676">
          <cell r="A676" t="str">
            <v>001</v>
          </cell>
        </row>
        <row r="677">
          <cell r="A677" t="str">
            <v>001</v>
          </cell>
        </row>
        <row r="678">
          <cell r="A678" t="str">
            <v>001</v>
          </cell>
        </row>
        <row r="679">
          <cell r="A679" t="str">
            <v>001</v>
          </cell>
        </row>
        <row r="680">
          <cell r="A680" t="str">
            <v>001</v>
          </cell>
        </row>
        <row r="681">
          <cell r="A681" t="str">
            <v>001</v>
          </cell>
        </row>
        <row r="682">
          <cell r="A682" t="str">
            <v>001</v>
          </cell>
        </row>
        <row r="683">
          <cell r="A683" t="str">
            <v>001</v>
          </cell>
        </row>
        <row r="684">
          <cell r="A684" t="str">
            <v>001</v>
          </cell>
        </row>
        <row r="685">
          <cell r="A685" t="str">
            <v>001</v>
          </cell>
        </row>
        <row r="686">
          <cell r="A686" t="str">
            <v>001</v>
          </cell>
        </row>
        <row r="687">
          <cell r="A687" t="str">
            <v>001</v>
          </cell>
        </row>
        <row r="688">
          <cell r="A688" t="str">
            <v>001</v>
          </cell>
        </row>
        <row r="689">
          <cell r="A689" t="str">
            <v>001</v>
          </cell>
        </row>
        <row r="690">
          <cell r="A690" t="str">
            <v>001</v>
          </cell>
        </row>
        <row r="691">
          <cell r="A691" t="str">
            <v>001</v>
          </cell>
        </row>
        <row r="692">
          <cell r="A692" t="str">
            <v>001</v>
          </cell>
        </row>
        <row r="693">
          <cell r="A693" t="str">
            <v>001</v>
          </cell>
        </row>
        <row r="694">
          <cell r="A694" t="str">
            <v>001</v>
          </cell>
        </row>
        <row r="695">
          <cell r="A695" t="str">
            <v>001</v>
          </cell>
        </row>
        <row r="696">
          <cell r="A696" t="str">
            <v>001</v>
          </cell>
        </row>
        <row r="697">
          <cell r="A697" t="str">
            <v>001</v>
          </cell>
        </row>
        <row r="698">
          <cell r="A698" t="str">
            <v>001</v>
          </cell>
        </row>
        <row r="699">
          <cell r="A699" t="str">
            <v>001</v>
          </cell>
        </row>
        <row r="700">
          <cell r="A700" t="str">
            <v>001</v>
          </cell>
        </row>
        <row r="701">
          <cell r="A701" t="str">
            <v>001</v>
          </cell>
        </row>
        <row r="702">
          <cell r="A702" t="str">
            <v>001</v>
          </cell>
        </row>
        <row r="703">
          <cell r="A703" t="str">
            <v>001</v>
          </cell>
        </row>
        <row r="704">
          <cell r="A704" t="str">
            <v>001</v>
          </cell>
        </row>
        <row r="705">
          <cell r="A705" t="str">
            <v>001</v>
          </cell>
        </row>
        <row r="706">
          <cell r="A706" t="str">
            <v>001</v>
          </cell>
        </row>
        <row r="707">
          <cell r="A707" t="str">
            <v>001</v>
          </cell>
        </row>
        <row r="708">
          <cell r="A708" t="str">
            <v>001</v>
          </cell>
        </row>
        <row r="709">
          <cell r="A709" t="str">
            <v>001</v>
          </cell>
        </row>
        <row r="710">
          <cell r="A710" t="str">
            <v>001</v>
          </cell>
        </row>
        <row r="711">
          <cell r="A711" t="str">
            <v>001</v>
          </cell>
        </row>
        <row r="712">
          <cell r="A712" t="str">
            <v>001</v>
          </cell>
        </row>
        <row r="713">
          <cell r="A713" t="str">
            <v>001</v>
          </cell>
        </row>
        <row r="714">
          <cell r="A714" t="str">
            <v>001</v>
          </cell>
        </row>
        <row r="715">
          <cell r="A715" t="str">
            <v>001</v>
          </cell>
        </row>
        <row r="716">
          <cell r="A716" t="str">
            <v>001</v>
          </cell>
        </row>
        <row r="717">
          <cell r="A717" t="str">
            <v>001</v>
          </cell>
        </row>
        <row r="718">
          <cell r="A718" t="str">
            <v>001</v>
          </cell>
        </row>
        <row r="719">
          <cell r="A719" t="str">
            <v>001</v>
          </cell>
        </row>
        <row r="720">
          <cell r="A720" t="str">
            <v>001</v>
          </cell>
        </row>
        <row r="721">
          <cell r="A721" t="str">
            <v>001</v>
          </cell>
        </row>
        <row r="722">
          <cell r="A722" t="str">
            <v>001</v>
          </cell>
        </row>
        <row r="723">
          <cell r="A723" t="str">
            <v>001</v>
          </cell>
        </row>
        <row r="724">
          <cell r="A724" t="str">
            <v>001</v>
          </cell>
        </row>
        <row r="725">
          <cell r="A725" t="str">
            <v>001</v>
          </cell>
        </row>
        <row r="726">
          <cell r="A726" t="str">
            <v>001</v>
          </cell>
        </row>
        <row r="727">
          <cell r="A727" t="str">
            <v>001</v>
          </cell>
        </row>
        <row r="728">
          <cell r="A728" t="str">
            <v>001</v>
          </cell>
        </row>
        <row r="729">
          <cell r="A729" t="str">
            <v>001</v>
          </cell>
        </row>
        <row r="730">
          <cell r="A730" t="str">
            <v>001</v>
          </cell>
        </row>
        <row r="731">
          <cell r="A731" t="str">
            <v>001</v>
          </cell>
        </row>
        <row r="732">
          <cell r="A732" t="str">
            <v>001</v>
          </cell>
        </row>
        <row r="733">
          <cell r="A733" t="str">
            <v>001</v>
          </cell>
        </row>
        <row r="734">
          <cell r="A734" t="str">
            <v>001</v>
          </cell>
        </row>
        <row r="735">
          <cell r="A735" t="str">
            <v>001</v>
          </cell>
        </row>
        <row r="736">
          <cell r="A736" t="str">
            <v>001</v>
          </cell>
        </row>
        <row r="737">
          <cell r="A737" t="str">
            <v>001</v>
          </cell>
        </row>
        <row r="738">
          <cell r="A738" t="str">
            <v>001</v>
          </cell>
        </row>
        <row r="739">
          <cell r="A739" t="str">
            <v>001</v>
          </cell>
        </row>
        <row r="740">
          <cell r="A740" t="str">
            <v>001</v>
          </cell>
        </row>
        <row r="741">
          <cell r="A741" t="str">
            <v>001</v>
          </cell>
        </row>
        <row r="742">
          <cell r="A742" t="str">
            <v>001</v>
          </cell>
        </row>
        <row r="743">
          <cell r="A743" t="str">
            <v>001</v>
          </cell>
        </row>
        <row r="744">
          <cell r="A744" t="str">
            <v>001</v>
          </cell>
        </row>
        <row r="745">
          <cell r="A745" t="str">
            <v>001</v>
          </cell>
        </row>
        <row r="746">
          <cell r="A746" t="str">
            <v>001</v>
          </cell>
        </row>
        <row r="747">
          <cell r="A747" t="str">
            <v>001</v>
          </cell>
        </row>
        <row r="748">
          <cell r="A748" t="str">
            <v>001</v>
          </cell>
        </row>
        <row r="749">
          <cell r="A749" t="str">
            <v>001</v>
          </cell>
        </row>
        <row r="750">
          <cell r="A750" t="str">
            <v>001</v>
          </cell>
        </row>
        <row r="751">
          <cell r="A751" t="str">
            <v>001</v>
          </cell>
        </row>
        <row r="752">
          <cell r="A752" t="str">
            <v>001</v>
          </cell>
        </row>
        <row r="753">
          <cell r="A753" t="str">
            <v>001</v>
          </cell>
        </row>
        <row r="754">
          <cell r="A754" t="str">
            <v>001</v>
          </cell>
        </row>
        <row r="755">
          <cell r="A755" t="str">
            <v>001</v>
          </cell>
        </row>
        <row r="756">
          <cell r="A756" t="str">
            <v>001</v>
          </cell>
        </row>
        <row r="757">
          <cell r="A757" t="str">
            <v>001</v>
          </cell>
        </row>
        <row r="758">
          <cell r="A758" t="str">
            <v>001</v>
          </cell>
        </row>
        <row r="759">
          <cell r="A759" t="str">
            <v>001</v>
          </cell>
        </row>
        <row r="760">
          <cell r="A760" t="str">
            <v>001</v>
          </cell>
        </row>
        <row r="761">
          <cell r="A761" t="str">
            <v>001</v>
          </cell>
        </row>
        <row r="762">
          <cell r="A762" t="str">
            <v>001</v>
          </cell>
        </row>
        <row r="763">
          <cell r="A763" t="str">
            <v>001</v>
          </cell>
        </row>
        <row r="764">
          <cell r="A764" t="str">
            <v>001</v>
          </cell>
        </row>
        <row r="765">
          <cell r="A765" t="str">
            <v>001</v>
          </cell>
        </row>
        <row r="766">
          <cell r="A766" t="str">
            <v>001</v>
          </cell>
        </row>
        <row r="767">
          <cell r="A767" t="str">
            <v>001</v>
          </cell>
        </row>
        <row r="768">
          <cell r="A768" t="str">
            <v>001</v>
          </cell>
        </row>
        <row r="769">
          <cell r="A769" t="str">
            <v>001</v>
          </cell>
        </row>
        <row r="770">
          <cell r="A770" t="str">
            <v>001</v>
          </cell>
        </row>
        <row r="771">
          <cell r="A771" t="str">
            <v>001</v>
          </cell>
        </row>
        <row r="772">
          <cell r="A772" t="str">
            <v>001</v>
          </cell>
        </row>
        <row r="773">
          <cell r="A773" t="str">
            <v>001</v>
          </cell>
        </row>
        <row r="774">
          <cell r="A774" t="str">
            <v>001</v>
          </cell>
        </row>
        <row r="775">
          <cell r="A775" t="str">
            <v>001</v>
          </cell>
        </row>
        <row r="776">
          <cell r="A776" t="str">
            <v>001</v>
          </cell>
        </row>
        <row r="777">
          <cell r="A777" t="str">
            <v>001</v>
          </cell>
        </row>
        <row r="778">
          <cell r="A778" t="str">
            <v>001</v>
          </cell>
        </row>
        <row r="779">
          <cell r="A779" t="str">
            <v>001</v>
          </cell>
        </row>
        <row r="780">
          <cell r="A780" t="str">
            <v>001</v>
          </cell>
        </row>
        <row r="781">
          <cell r="A781" t="str">
            <v>001</v>
          </cell>
        </row>
        <row r="782">
          <cell r="A782" t="str">
            <v>001</v>
          </cell>
        </row>
        <row r="783">
          <cell r="A783" t="str">
            <v>001</v>
          </cell>
        </row>
        <row r="784">
          <cell r="A784" t="str">
            <v>001</v>
          </cell>
        </row>
        <row r="785">
          <cell r="A785" t="str">
            <v>001</v>
          </cell>
        </row>
        <row r="786">
          <cell r="A786" t="str">
            <v>001</v>
          </cell>
        </row>
        <row r="787">
          <cell r="A787" t="str">
            <v>001</v>
          </cell>
        </row>
        <row r="788">
          <cell r="A788" t="str">
            <v>001</v>
          </cell>
        </row>
        <row r="789">
          <cell r="A789" t="str">
            <v>001</v>
          </cell>
        </row>
        <row r="790">
          <cell r="A790" t="str">
            <v>001</v>
          </cell>
        </row>
        <row r="791">
          <cell r="A791" t="str">
            <v>001</v>
          </cell>
        </row>
        <row r="792">
          <cell r="A792" t="str">
            <v>001</v>
          </cell>
        </row>
        <row r="793">
          <cell r="A793" t="str">
            <v>001</v>
          </cell>
        </row>
        <row r="794">
          <cell r="A794" t="str">
            <v>001</v>
          </cell>
        </row>
        <row r="795">
          <cell r="A795" t="str">
            <v>001</v>
          </cell>
        </row>
        <row r="796">
          <cell r="A796" t="str">
            <v>001</v>
          </cell>
        </row>
        <row r="797">
          <cell r="A797" t="str">
            <v>001</v>
          </cell>
        </row>
        <row r="798">
          <cell r="A798" t="str">
            <v>001</v>
          </cell>
        </row>
        <row r="799">
          <cell r="A799" t="str">
            <v>001</v>
          </cell>
        </row>
        <row r="800">
          <cell r="A800" t="str">
            <v>001</v>
          </cell>
        </row>
        <row r="801">
          <cell r="A801" t="str">
            <v>001</v>
          </cell>
        </row>
        <row r="802">
          <cell r="A802" t="str">
            <v>001</v>
          </cell>
        </row>
        <row r="803">
          <cell r="A803" t="str">
            <v>001</v>
          </cell>
        </row>
        <row r="804">
          <cell r="A804" t="str">
            <v>001</v>
          </cell>
        </row>
        <row r="805">
          <cell r="A805" t="str">
            <v>001</v>
          </cell>
        </row>
        <row r="806">
          <cell r="A806" t="str">
            <v>001</v>
          </cell>
        </row>
        <row r="807">
          <cell r="A807" t="str">
            <v>001</v>
          </cell>
        </row>
        <row r="808">
          <cell r="A808" t="str">
            <v>001</v>
          </cell>
        </row>
        <row r="809">
          <cell r="A809" t="str">
            <v>001</v>
          </cell>
        </row>
        <row r="810">
          <cell r="A810" t="str">
            <v>001</v>
          </cell>
        </row>
        <row r="811">
          <cell r="A811" t="str">
            <v>001</v>
          </cell>
        </row>
        <row r="812">
          <cell r="A812" t="str">
            <v>001</v>
          </cell>
        </row>
        <row r="813">
          <cell r="A813" t="str">
            <v>001</v>
          </cell>
        </row>
        <row r="814">
          <cell r="A814" t="str">
            <v>001</v>
          </cell>
        </row>
        <row r="815">
          <cell r="A815" t="str">
            <v>001</v>
          </cell>
        </row>
        <row r="816">
          <cell r="A816" t="str">
            <v>001</v>
          </cell>
        </row>
        <row r="817">
          <cell r="A817" t="str">
            <v>001</v>
          </cell>
        </row>
        <row r="818">
          <cell r="A818" t="str">
            <v>001</v>
          </cell>
        </row>
        <row r="819">
          <cell r="A819" t="str">
            <v>001</v>
          </cell>
        </row>
        <row r="820">
          <cell r="A820" t="str">
            <v>001</v>
          </cell>
        </row>
        <row r="821">
          <cell r="A821" t="str">
            <v>001</v>
          </cell>
        </row>
        <row r="822">
          <cell r="A822" t="str">
            <v>001</v>
          </cell>
        </row>
        <row r="823">
          <cell r="A823" t="str">
            <v>001</v>
          </cell>
        </row>
        <row r="824">
          <cell r="A824" t="str">
            <v>001</v>
          </cell>
        </row>
        <row r="825">
          <cell r="A825" t="str">
            <v>001</v>
          </cell>
        </row>
        <row r="826">
          <cell r="A826" t="str">
            <v>001</v>
          </cell>
        </row>
        <row r="827">
          <cell r="A827" t="str">
            <v>001</v>
          </cell>
        </row>
        <row r="828">
          <cell r="A828" t="str">
            <v>001</v>
          </cell>
        </row>
        <row r="829">
          <cell r="A829" t="str">
            <v>001</v>
          </cell>
        </row>
        <row r="830">
          <cell r="A830" t="str">
            <v>001</v>
          </cell>
        </row>
        <row r="831">
          <cell r="A831" t="str">
            <v>001</v>
          </cell>
        </row>
        <row r="832">
          <cell r="A832" t="str">
            <v>001</v>
          </cell>
        </row>
        <row r="833">
          <cell r="A833" t="str">
            <v>001</v>
          </cell>
        </row>
        <row r="834">
          <cell r="A834" t="str">
            <v>001</v>
          </cell>
        </row>
        <row r="835">
          <cell r="A835" t="str">
            <v>001</v>
          </cell>
        </row>
        <row r="836">
          <cell r="A836" t="str">
            <v>001</v>
          </cell>
        </row>
        <row r="837">
          <cell r="A837" t="str">
            <v>001</v>
          </cell>
        </row>
        <row r="838">
          <cell r="A838" t="str">
            <v>001</v>
          </cell>
        </row>
        <row r="839">
          <cell r="A839" t="str">
            <v>001</v>
          </cell>
        </row>
        <row r="840">
          <cell r="A840" t="str">
            <v>001</v>
          </cell>
        </row>
        <row r="841">
          <cell r="A841" t="str">
            <v>001</v>
          </cell>
        </row>
        <row r="842">
          <cell r="A842" t="str">
            <v>001</v>
          </cell>
        </row>
        <row r="843">
          <cell r="A843" t="str">
            <v>001</v>
          </cell>
        </row>
        <row r="844">
          <cell r="A844" t="str">
            <v>001</v>
          </cell>
        </row>
        <row r="845">
          <cell r="A845" t="str">
            <v>001</v>
          </cell>
        </row>
        <row r="846">
          <cell r="A846" t="str">
            <v>001</v>
          </cell>
        </row>
        <row r="847">
          <cell r="A847" t="str">
            <v>001</v>
          </cell>
        </row>
        <row r="848">
          <cell r="A848" t="str">
            <v>001</v>
          </cell>
        </row>
        <row r="849">
          <cell r="A849" t="str">
            <v>001</v>
          </cell>
        </row>
        <row r="850">
          <cell r="A850" t="str">
            <v>001</v>
          </cell>
        </row>
        <row r="851">
          <cell r="A851" t="str">
            <v>001</v>
          </cell>
        </row>
        <row r="852">
          <cell r="A852" t="str">
            <v>001</v>
          </cell>
        </row>
        <row r="853">
          <cell r="A853" t="str">
            <v>001</v>
          </cell>
        </row>
        <row r="854">
          <cell r="A854" t="str">
            <v>001</v>
          </cell>
        </row>
        <row r="855">
          <cell r="A855" t="str">
            <v>001</v>
          </cell>
        </row>
        <row r="856">
          <cell r="A856" t="str">
            <v>001</v>
          </cell>
        </row>
        <row r="857">
          <cell r="A857" t="str">
            <v>001</v>
          </cell>
        </row>
        <row r="858">
          <cell r="A858" t="str">
            <v>001</v>
          </cell>
        </row>
        <row r="859">
          <cell r="A859" t="str">
            <v>001</v>
          </cell>
        </row>
        <row r="860">
          <cell r="A860" t="str">
            <v>001</v>
          </cell>
        </row>
        <row r="861">
          <cell r="A861" t="str">
            <v>001</v>
          </cell>
        </row>
        <row r="862">
          <cell r="A862" t="str">
            <v>001</v>
          </cell>
        </row>
        <row r="863">
          <cell r="A863" t="str">
            <v>001</v>
          </cell>
        </row>
        <row r="864">
          <cell r="A864" t="str">
            <v>001</v>
          </cell>
        </row>
        <row r="865">
          <cell r="A865" t="str">
            <v>001</v>
          </cell>
        </row>
        <row r="866">
          <cell r="A866" t="str">
            <v>001</v>
          </cell>
        </row>
        <row r="867">
          <cell r="A867" t="str">
            <v>001</v>
          </cell>
        </row>
        <row r="868">
          <cell r="A868" t="str">
            <v>001</v>
          </cell>
        </row>
        <row r="869">
          <cell r="A869" t="str">
            <v>001</v>
          </cell>
        </row>
        <row r="870">
          <cell r="A870" t="str">
            <v>001</v>
          </cell>
        </row>
        <row r="871">
          <cell r="A871" t="str">
            <v>001</v>
          </cell>
        </row>
        <row r="872">
          <cell r="A872" t="str">
            <v>001</v>
          </cell>
        </row>
        <row r="873">
          <cell r="A873" t="str">
            <v>001</v>
          </cell>
        </row>
        <row r="874">
          <cell r="A874" t="str">
            <v>001</v>
          </cell>
        </row>
        <row r="875">
          <cell r="A875" t="str">
            <v>001</v>
          </cell>
        </row>
        <row r="876">
          <cell r="A876" t="str">
            <v>001</v>
          </cell>
        </row>
        <row r="877">
          <cell r="A877" t="str">
            <v>001</v>
          </cell>
        </row>
        <row r="878">
          <cell r="A878" t="str">
            <v>001</v>
          </cell>
        </row>
        <row r="879">
          <cell r="A879" t="str">
            <v>001</v>
          </cell>
        </row>
        <row r="880">
          <cell r="A880" t="str">
            <v>001</v>
          </cell>
        </row>
        <row r="881">
          <cell r="A881" t="str">
            <v>001</v>
          </cell>
        </row>
        <row r="882">
          <cell r="A882" t="str">
            <v>001</v>
          </cell>
        </row>
        <row r="883">
          <cell r="A883" t="str">
            <v>001</v>
          </cell>
        </row>
        <row r="884">
          <cell r="A884" t="str">
            <v>001</v>
          </cell>
        </row>
        <row r="885">
          <cell r="A885" t="str">
            <v>001</v>
          </cell>
        </row>
        <row r="886">
          <cell r="A886" t="str">
            <v>001</v>
          </cell>
        </row>
        <row r="887">
          <cell r="A887" t="str">
            <v>001</v>
          </cell>
        </row>
        <row r="888">
          <cell r="A888" t="str">
            <v>001</v>
          </cell>
        </row>
        <row r="889">
          <cell r="A889" t="str">
            <v>001</v>
          </cell>
        </row>
        <row r="890">
          <cell r="A890" t="str">
            <v>001</v>
          </cell>
        </row>
        <row r="891">
          <cell r="A891" t="str">
            <v>001</v>
          </cell>
        </row>
        <row r="892">
          <cell r="A892" t="str">
            <v>001</v>
          </cell>
        </row>
        <row r="893">
          <cell r="A893" t="str">
            <v>001</v>
          </cell>
        </row>
        <row r="894">
          <cell r="A894" t="str">
            <v>001</v>
          </cell>
        </row>
        <row r="895">
          <cell r="A895" t="str">
            <v>001</v>
          </cell>
        </row>
        <row r="896">
          <cell r="A896" t="str">
            <v>001</v>
          </cell>
        </row>
        <row r="897">
          <cell r="A897" t="str">
            <v>001</v>
          </cell>
        </row>
        <row r="898">
          <cell r="A898" t="str">
            <v>001</v>
          </cell>
        </row>
        <row r="899">
          <cell r="A899" t="str">
            <v>001</v>
          </cell>
        </row>
        <row r="900">
          <cell r="A900" t="str">
            <v>001</v>
          </cell>
        </row>
        <row r="901">
          <cell r="A901" t="str">
            <v>001</v>
          </cell>
        </row>
        <row r="902">
          <cell r="A902" t="str">
            <v>001</v>
          </cell>
        </row>
        <row r="903">
          <cell r="A903" t="str">
            <v>001</v>
          </cell>
        </row>
        <row r="904">
          <cell r="A904" t="str">
            <v>001</v>
          </cell>
        </row>
        <row r="905">
          <cell r="A905" t="str">
            <v>001</v>
          </cell>
        </row>
        <row r="906">
          <cell r="A906" t="str">
            <v>001</v>
          </cell>
        </row>
        <row r="907">
          <cell r="A907" t="str">
            <v>001</v>
          </cell>
        </row>
        <row r="908">
          <cell r="A908" t="str">
            <v>001</v>
          </cell>
        </row>
        <row r="909">
          <cell r="A909" t="str">
            <v>001</v>
          </cell>
        </row>
        <row r="910">
          <cell r="A910" t="str">
            <v>001</v>
          </cell>
        </row>
        <row r="911">
          <cell r="A911" t="str">
            <v>001</v>
          </cell>
        </row>
        <row r="912">
          <cell r="A912" t="str">
            <v>001</v>
          </cell>
        </row>
        <row r="913">
          <cell r="A913" t="str">
            <v>001</v>
          </cell>
        </row>
        <row r="914">
          <cell r="A914" t="str">
            <v>001</v>
          </cell>
        </row>
        <row r="915">
          <cell r="A915" t="str">
            <v>001</v>
          </cell>
        </row>
        <row r="916">
          <cell r="A916" t="str">
            <v>001</v>
          </cell>
        </row>
        <row r="917">
          <cell r="A917" t="str">
            <v>001</v>
          </cell>
        </row>
        <row r="918">
          <cell r="A918" t="str">
            <v>001</v>
          </cell>
        </row>
        <row r="919">
          <cell r="A919" t="str">
            <v>001</v>
          </cell>
        </row>
        <row r="920">
          <cell r="A920" t="str">
            <v>001</v>
          </cell>
        </row>
        <row r="921">
          <cell r="A921" t="str">
            <v>001</v>
          </cell>
        </row>
        <row r="922">
          <cell r="A922" t="str">
            <v>001</v>
          </cell>
        </row>
        <row r="923">
          <cell r="A923" t="str">
            <v>001</v>
          </cell>
        </row>
        <row r="924">
          <cell r="A924" t="str">
            <v>001</v>
          </cell>
        </row>
        <row r="925">
          <cell r="A925" t="str">
            <v>001</v>
          </cell>
        </row>
        <row r="926">
          <cell r="A926" t="str">
            <v>001</v>
          </cell>
        </row>
        <row r="927">
          <cell r="A927" t="str">
            <v>001</v>
          </cell>
        </row>
        <row r="928">
          <cell r="A928" t="str">
            <v>001</v>
          </cell>
        </row>
        <row r="929">
          <cell r="A929" t="str">
            <v>001</v>
          </cell>
        </row>
        <row r="930">
          <cell r="A930" t="str">
            <v>001</v>
          </cell>
        </row>
        <row r="931">
          <cell r="A931" t="str">
            <v>001</v>
          </cell>
        </row>
        <row r="932">
          <cell r="A932" t="str">
            <v>001</v>
          </cell>
        </row>
        <row r="933">
          <cell r="A933" t="str">
            <v>001</v>
          </cell>
        </row>
        <row r="934">
          <cell r="A934" t="str">
            <v>001</v>
          </cell>
        </row>
        <row r="935">
          <cell r="A935" t="str">
            <v>001</v>
          </cell>
        </row>
        <row r="936">
          <cell r="A936" t="str">
            <v>001</v>
          </cell>
        </row>
        <row r="937">
          <cell r="A937" t="str">
            <v>001</v>
          </cell>
        </row>
        <row r="938">
          <cell r="A938" t="str">
            <v>001</v>
          </cell>
        </row>
        <row r="939">
          <cell r="A939" t="str">
            <v>001</v>
          </cell>
        </row>
        <row r="940">
          <cell r="A940" t="str">
            <v>001</v>
          </cell>
        </row>
        <row r="941">
          <cell r="A941" t="str">
            <v>001</v>
          </cell>
        </row>
        <row r="942">
          <cell r="A942" t="str">
            <v>001</v>
          </cell>
        </row>
        <row r="943">
          <cell r="A943" t="str">
            <v>001</v>
          </cell>
        </row>
        <row r="944">
          <cell r="A944" t="str">
            <v>001</v>
          </cell>
        </row>
        <row r="945">
          <cell r="A945" t="str">
            <v>001</v>
          </cell>
        </row>
        <row r="946">
          <cell r="A946" t="str">
            <v>001</v>
          </cell>
        </row>
        <row r="947">
          <cell r="A947" t="str">
            <v>001</v>
          </cell>
        </row>
        <row r="948">
          <cell r="A948" t="str">
            <v>001</v>
          </cell>
        </row>
        <row r="949">
          <cell r="A949" t="str">
            <v>001</v>
          </cell>
        </row>
        <row r="950">
          <cell r="A950" t="str">
            <v>001</v>
          </cell>
        </row>
        <row r="951">
          <cell r="A951" t="str">
            <v>001</v>
          </cell>
        </row>
        <row r="952">
          <cell r="A952" t="str">
            <v>001</v>
          </cell>
        </row>
        <row r="953">
          <cell r="A953" t="str">
            <v>001</v>
          </cell>
        </row>
        <row r="954">
          <cell r="A954" t="str">
            <v>001</v>
          </cell>
        </row>
        <row r="955">
          <cell r="A955" t="str">
            <v>001</v>
          </cell>
        </row>
        <row r="956">
          <cell r="A956" t="str">
            <v>001</v>
          </cell>
        </row>
        <row r="957">
          <cell r="A957" t="str">
            <v>001</v>
          </cell>
        </row>
        <row r="958">
          <cell r="A958" t="str">
            <v>001</v>
          </cell>
        </row>
        <row r="959">
          <cell r="A959" t="str">
            <v>001</v>
          </cell>
        </row>
        <row r="960">
          <cell r="A960" t="str">
            <v>001</v>
          </cell>
        </row>
        <row r="961">
          <cell r="A961" t="str">
            <v>001</v>
          </cell>
        </row>
        <row r="962">
          <cell r="A962" t="str">
            <v>001</v>
          </cell>
        </row>
        <row r="963">
          <cell r="A963" t="str">
            <v>001</v>
          </cell>
        </row>
        <row r="964">
          <cell r="A964" t="str">
            <v>001</v>
          </cell>
        </row>
        <row r="965">
          <cell r="A965" t="str">
            <v>001</v>
          </cell>
        </row>
        <row r="966">
          <cell r="A966" t="str">
            <v>001</v>
          </cell>
        </row>
        <row r="967">
          <cell r="A967" t="str">
            <v>001</v>
          </cell>
        </row>
        <row r="968">
          <cell r="A968" t="str">
            <v>001</v>
          </cell>
        </row>
        <row r="969">
          <cell r="A969" t="str">
            <v>001</v>
          </cell>
        </row>
        <row r="970">
          <cell r="A970" t="str">
            <v>001</v>
          </cell>
        </row>
        <row r="971">
          <cell r="A971" t="str">
            <v>001</v>
          </cell>
        </row>
        <row r="972">
          <cell r="A972" t="str">
            <v>001</v>
          </cell>
        </row>
        <row r="973">
          <cell r="A973" t="str">
            <v>001</v>
          </cell>
        </row>
        <row r="974">
          <cell r="A974" t="str">
            <v>001</v>
          </cell>
        </row>
        <row r="975">
          <cell r="A975" t="str">
            <v>001</v>
          </cell>
        </row>
        <row r="976">
          <cell r="A976" t="str">
            <v>001</v>
          </cell>
        </row>
        <row r="977">
          <cell r="A977" t="str">
            <v>001</v>
          </cell>
        </row>
        <row r="978">
          <cell r="A978" t="str">
            <v>001</v>
          </cell>
        </row>
        <row r="979">
          <cell r="A979" t="str">
            <v>001</v>
          </cell>
        </row>
        <row r="980">
          <cell r="A980" t="str">
            <v>001</v>
          </cell>
        </row>
        <row r="981">
          <cell r="A981" t="str">
            <v>001</v>
          </cell>
        </row>
        <row r="982">
          <cell r="A982" t="str">
            <v>001</v>
          </cell>
        </row>
        <row r="983">
          <cell r="A983" t="str">
            <v>001</v>
          </cell>
        </row>
        <row r="984">
          <cell r="A984" t="str">
            <v>001</v>
          </cell>
        </row>
        <row r="985">
          <cell r="A985" t="str">
            <v>001</v>
          </cell>
        </row>
        <row r="986">
          <cell r="A986" t="str">
            <v>001</v>
          </cell>
        </row>
        <row r="987">
          <cell r="A987" t="str">
            <v>001</v>
          </cell>
        </row>
        <row r="988">
          <cell r="A988" t="str">
            <v>001</v>
          </cell>
        </row>
        <row r="989">
          <cell r="A989" t="str">
            <v>001</v>
          </cell>
        </row>
        <row r="990">
          <cell r="A990" t="str">
            <v>001</v>
          </cell>
        </row>
        <row r="991">
          <cell r="A991" t="str">
            <v>001</v>
          </cell>
        </row>
        <row r="992">
          <cell r="A992" t="str">
            <v>001</v>
          </cell>
        </row>
        <row r="993">
          <cell r="A993" t="str">
            <v>001</v>
          </cell>
        </row>
        <row r="994">
          <cell r="A994" t="str">
            <v>001</v>
          </cell>
        </row>
        <row r="995">
          <cell r="A995" t="str">
            <v>001</v>
          </cell>
        </row>
        <row r="996">
          <cell r="A996" t="str">
            <v>001</v>
          </cell>
        </row>
        <row r="997">
          <cell r="A997" t="str">
            <v>001</v>
          </cell>
        </row>
        <row r="998">
          <cell r="A998" t="str">
            <v>001</v>
          </cell>
        </row>
        <row r="999">
          <cell r="A999" t="str">
            <v>001</v>
          </cell>
        </row>
        <row r="1000">
          <cell r="A1000" t="str">
            <v>001</v>
          </cell>
        </row>
        <row r="1001">
          <cell r="A1001" t="str">
            <v>001</v>
          </cell>
        </row>
        <row r="1002">
          <cell r="A1002" t="str">
            <v>001</v>
          </cell>
        </row>
        <row r="1003">
          <cell r="A1003" t="str">
            <v>001</v>
          </cell>
        </row>
        <row r="1004">
          <cell r="A1004" t="str">
            <v>001</v>
          </cell>
        </row>
        <row r="1005">
          <cell r="A1005" t="str">
            <v>001</v>
          </cell>
        </row>
        <row r="1006">
          <cell r="A1006" t="str">
            <v>001</v>
          </cell>
        </row>
        <row r="1007">
          <cell r="A1007" t="str">
            <v>001</v>
          </cell>
        </row>
        <row r="1008">
          <cell r="A1008" t="str">
            <v>001</v>
          </cell>
        </row>
        <row r="1009">
          <cell r="A1009" t="str">
            <v>001</v>
          </cell>
        </row>
        <row r="1010">
          <cell r="A1010" t="str">
            <v>001</v>
          </cell>
        </row>
        <row r="1011">
          <cell r="A1011" t="str">
            <v>001</v>
          </cell>
        </row>
        <row r="1012">
          <cell r="A1012" t="str">
            <v>001</v>
          </cell>
        </row>
        <row r="1013">
          <cell r="A1013" t="str">
            <v>001</v>
          </cell>
        </row>
        <row r="1014">
          <cell r="A1014" t="str">
            <v>001</v>
          </cell>
        </row>
        <row r="1015">
          <cell r="A1015" t="str">
            <v>001</v>
          </cell>
        </row>
        <row r="1016">
          <cell r="A1016" t="str">
            <v>001</v>
          </cell>
        </row>
        <row r="1017">
          <cell r="A1017" t="str">
            <v>001</v>
          </cell>
        </row>
        <row r="1018">
          <cell r="A1018" t="str">
            <v>001</v>
          </cell>
        </row>
        <row r="1019">
          <cell r="A1019" t="str">
            <v>001</v>
          </cell>
        </row>
        <row r="1020">
          <cell r="A1020" t="str">
            <v>001</v>
          </cell>
        </row>
        <row r="1021">
          <cell r="A1021" t="str">
            <v>001</v>
          </cell>
        </row>
        <row r="1022">
          <cell r="A1022" t="str">
            <v>001</v>
          </cell>
        </row>
        <row r="1023">
          <cell r="A1023" t="str">
            <v>001</v>
          </cell>
        </row>
        <row r="1024">
          <cell r="A1024" t="str">
            <v>001</v>
          </cell>
        </row>
        <row r="1025">
          <cell r="A1025" t="str">
            <v>001</v>
          </cell>
        </row>
        <row r="1026">
          <cell r="A1026" t="str">
            <v>001</v>
          </cell>
        </row>
        <row r="1027">
          <cell r="A1027" t="str">
            <v>001</v>
          </cell>
        </row>
        <row r="1028">
          <cell r="A1028" t="str">
            <v>001</v>
          </cell>
        </row>
        <row r="1029">
          <cell r="A1029" t="str">
            <v>001</v>
          </cell>
        </row>
        <row r="1030">
          <cell r="A1030" t="str">
            <v>001</v>
          </cell>
        </row>
        <row r="1031">
          <cell r="A1031" t="str">
            <v>001</v>
          </cell>
        </row>
        <row r="1032">
          <cell r="A1032" t="str">
            <v>001</v>
          </cell>
        </row>
        <row r="1033">
          <cell r="A1033" t="str">
            <v>001</v>
          </cell>
        </row>
        <row r="1034">
          <cell r="A1034" t="str">
            <v>001</v>
          </cell>
        </row>
        <row r="1035">
          <cell r="A1035" t="str">
            <v>001</v>
          </cell>
        </row>
        <row r="1036">
          <cell r="A1036" t="str">
            <v>001</v>
          </cell>
        </row>
        <row r="1037">
          <cell r="A1037" t="str">
            <v>001</v>
          </cell>
        </row>
        <row r="1038">
          <cell r="A1038" t="str">
            <v>001</v>
          </cell>
        </row>
        <row r="1039">
          <cell r="A1039" t="str">
            <v>001</v>
          </cell>
        </row>
        <row r="1040">
          <cell r="A1040" t="str">
            <v>001</v>
          </cell>
        </row>
        <row r="1041">
          <cell r="A1041" t="str">
            <v>001</v>
          </cell>
        </row>
        <row r="1042">
          <cell r="A1042" t="str">
            <v>001</v>
          </cell>
        </row>
        <row r="1043">
          <cell r="A1043" t="str">
            <v>001</v>
          </cell>
        </row>
        <row r="1044">
          <cell r="A1044" t="str">
            <v>001</v>
          </cell>
        </row>
        <row r="1045">
          <cell r="A1045" t="str">
            <v>001</v>
          </cell>
        </row>
        <row r="1046">
          <cell r="A1046" t="str">
            <v>001</v>
          </cell>
        </row>
        <row r="1047">
          <cell r="A1047" t="str">
            <v>001</v>
          </cell>
        </row>
        <row r="1048">
          <cell r="A1048" t="str">
            <v>001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 Summary"/>
      <sheetName val="SAP_Summary_19072013"/>
      <sheetName val="US FS Details"/>
      <sheetName val="CC# List"/>
      <sheetName val="IFRS Accounts"/>
      <sheetName val="A Accounts"/>
      <sheetName val="Period14"/>
      <sheetName val="Pensions"/>
      <sheetName val="Local AM"/>
      <sheetName val="AnnualReportDec12"/>
      <sheetName val="FTEDec12"/>
      <sheetName val="ReviewSchedule2013"/>
      <sheetName val="SAP_EY Risk assessment guidance"/>
      <sheetName val="SBCP"/>
      <sheetName val="Fin assets"/>
      <sheetName val="Investments"/>
      <sheetName val="AR"/>
      <sheetName val="FA"/>
      <sheetName val="Consol"/>
      <sheetName val="SAP Complexity Level"/>
      <sheetName val="SAP 2012 Risk Assess."/>
      <sheetName val="SAP SOWI"/>
      <sheetName val="SAP SFSF Review schedule 2013"/>
      <sheetName val="Pricing Summary Total"/>
      <sheetName val="Pricing Summary without G,US,C"/>
      <sheetName val="EMEA Tax Compliance"/>
      <sheetName val="Americas Tax Compliance"/>
      <sheetName val="Sybase US Tax Compliance"/>
      <sheetName val="APJ Tax Compliance"/>
      <sheetName val="Summary Tax Compliance"/>
      <sheetName val="EMEA Statutory Accounting"/>
      <sheetName val="Americas Statutory Accounting"/>
      <sheetName val="Sybase US Statutory Accounting"/>
      <sheetName val="APJ Statutory Accounting"/>
      <sheetName val="Summary Statutory Accounting"/>
      <sheetName val="Summary Tax and Stat Acc. ---&gt; "/>
      <sheetName val="EMEA"/>
      <sheetName val="Americas"/>
      <sheetName val="Sybase US"/>
      <sheetName val="APJ"/>
      <sheetName val="Summary"/>
    </sheetNames>
    <sheetDataSet>
      <sheetData sheetId="0">
        <row r="5">
          <cell r="A5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 Detail (2)"/>
      <sheetName val="Transfer Detail"/>
      <sheetName val="Summ. by Transfer"/>
      <sheetName val="Process Transfer (5)"/>
      <sheetName val="Process Transfer (4)"/>
      <sheetName val="To 251"/>
      <sheetName val="To Transfer"/>
      <sheetName val="Servers to Transfer-Quest."/>
      <sheetName val="Transfer Analysis"/>
      <sheetName val="Co. the Sam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om.sap.ip.bi.xl.hiddensheet"/>
      <sheetName val="Rate from Euro"/>
      <sheetName val="Rate to Euro"/>
      <sheetName val="TCURR"/>
      <sheetName val="TCURF"/>
      <sheetName val="TCURF from Eur"/>
      <sheetName val="Pivot Curr from Eur"/>
      <sheetName val="TCURF to Eur"/>
      <sheetName val="Pivot Curr to Eur"/>
      <sheetName val="Missing values"/>
      <sheetName val="Admin"/>
      <sheetName val="SAP_Text_Customiz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 - Not Translate"/>
      <sheetName val="Trial Balance - Not Translate_1"/>
      <sheetName val="Combined"/>
      <sheetName val="PIVOT"/>
      <sheetName val="Combined Final"/>
      <sheetName val="Macro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. 8 Transfers"/>
      <sheetName val="Co. 63 Transfers"/>
      <sheetName val="Co. 64 Transfers"/>
      <sheetName val="Co. 65 Transfers"/>
      <sheetName val="Co. 265 Transfers"/>
      <sheetName val="Co. 219 Transfers"/>
      <sheetName val="Co. 251"/>
      <sheetName val="Transfer Detail"/>
      <sheetName val="Create Assets"/>
      <sheetName val="D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4-07"/>
      <sheetName val="Summ."/>
      <sheetName val="Co. Diff."/>
      <sheetName val="Co. the Same"/>
      <sheetName val="No EMR CC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5-07"/>
      <sheetName val="Summ. 1440"/>
      <sheetName val="Co. Diff. 1440"/>
      <sheetName val="CC the Same 121"/>
      <sheetName val="No EMR CC 32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8-07"/>
      <sheetName val="Summ. 1637"/>
      <sheetName val="Co. Diff. 1637"/>
      <sheetName val="Co. the Same 146"/>
      <sheetName val="No EMR CC 31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11-07"/>
      <sheetName val="Summ. of 1685"/>
      <sheetName val="Co. Diff. 1685"/>
      <sheetName val="Co. the Same 331"/>
      <sheetName val="No EMR CC 49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us"/>
      <sheetName val="Target @ TGT"/>
      <sheetName val="TGT in LC"/>
      <sheetName val="Target @ BUD EUR"/>
      <sheetName val="Target @ BUD USD"/>
      <sheetName val="EUR Division Targets"/>
      <sheetName val="USD Division Targets"/>
      <sheetName val="MARKET LINEARITY EUR"/>
      <sheetName val="MARKET LINEARITY USD"/>
      <sheetName val="EUR PV"/>
      <sheetName val="USD PV"/>
      <sheetName val="MARKET LINEARITY TGT"/>
      <sheetName val="MARKET LINEARITY LC"/>
      <sheetName val="2023 TGT Rates"/>
      <sheetName val="2023 BUD Rates - EUR"/>
      <sheetName val="2023 BUD Rates - USD"/>
      <sheetName val="2024 TGT Rates"/>
      <sheetName val="2024 BUD Rates - EUR"/>
      <sheetName val="2024 BUD Rates - USD"/>
      <sheetName val="Sheet1"/>
      <sheetName val="Sheet2"/>
      <sheetName val="BUD Rates - old"/>
      <sheetName val="BUD Rates - USD - old"/>
      <sheetName val="BUD Rates - USD"/>
      <sheetName val="TGT Rates"/>
      <sheetName val="BUD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ile, Emma" id="{EAC8F53C-8B24-4AB0-A57A-8ADFDC948417}" userId="S::e.pile@sap.com::3104bed1-35ac-49e4-856a-f1e4a0a6d97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73AD05-6FA3-47DD-AE75-C6607F7EFABA}" name="Table2" displayName="Table2" ref="H2:L10" totalsRowShown="0">
  <autoFilter ref="H2:L10" xr:uid="{A473AD05-6FA3-47DD-AE75-C6607F7EFABA}"/>
  <tableColumns count="5">
    <tableColumn id="1" xr3:uid="{55F49218-840B-4DD4-88B0-09FA3B9D0D41}" name=" " dataDxfId="11"/>
    <tableColumn id="2" xr3:uid="{F590AA3D-13F2-40B8-BA5A-C141E9FC08B0}" name="Client Sales Key" dataDxfId="10"/>
    <tableColumn id="3" xr3:uid="{8BE065EC-497E-4E2D-9966-81D7DB8AF739}" name="Client Sales Strategic" dataDxfId="9"/>
    <tableColumn id="4" xr3:uid="{00D58FD5-B200-474B-9CE4-97120BE4BDCB}" name="Client Sales Premier" dataDxfId="8"/>
    <tableColumn id="5" xr3:uid="{9B952343-3DCA-4112-8834-4E8187EB0673}" name="Total Client 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B37F6-E56D-43A7-9BF0-0AAA1A277B7C}" name="Table1" displayName="Table1" ref="C17:L21" totalsRowShown="0">
  <autoFilter ref="C17:L21" xr:uid="{7D7B37F6-E56D-43A7-9BF0-0AAA1A277B7C}"/>
  <tableColumns count="10">
    <tableColumn id="1" xr3:uid="{8BF641C2-1256-4AB8-A11A-552CFCA9DDCB}" name="Team"/>
    <tableColumn id="2" xr3:uid="{F82A8687-E364-4C43-8E8C-4775AF2AE451}" name="Column1"/>
    <tableColumn id="3" xr3:uid="{104FE50D-78D2-47BD-B819-E89311CE9A09}" name="2026 P&amp;L" dataDxfId="7"/>
    <tableColumn id="4" xr3:uid="{4C5E1F23-815B-4FF9-908A-A26FCD688208}" name="2026 Overassign" dataDxfId="6"/>
    <tableColumn id="5" xr3:uid="{0F3A5E24-DD19-439F-852B-AC266112B101}" name="Overassign Amount" dataDxfId="5">
      <calculatedColumnFormula>Table1[[#This Row],[2026 P&amp;L]]*Table1[[#This Row],[2026 Overassign]]</calculatedColumnFormula>
    </tableColumn>
    <tableColumn id="6" xr3:uid="{BE01C560-BB1A-44E7-8C9D-D5C275DB85BD}" name="Assigned Quota (P&amp;L+Overassign)" dataDxfId="4">
      <calculatedColumnFormula>Table1[[#This Row],[2026 P&amp;L]]+Table1[[#This Row],[Overassign Amount]]</calculatedColumnFormula>
    </tableColumn>
    <tableColumn id="7" xr3:uid="{2400B0CB-1FA6-471A-8A61-ED2BD29710F8}" name="2025 Quota" dataDxfId="3"/>
    <tableColumn id="8" xr3:uid="{998B2E53-7A51-4B7C-BACF-578459695EE7}" name="2026Quota" dataDxfId="2">
      <calculatedColumnFormula>H8</calculatedColumnFormula>
    </tableColumn>
    <tableColumn id="9" xr3:uid="{88EBBC16-AD1A-4259-8623-ED1E5809D4D4}" name="YoY Increase" dataDxfId="1"/>
    <tableColumn id="10" xr3:uid="{49A735C3-B775-434D-B245-4C333C5F3D12}" name="YoY Increase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8" dT="2024-10-15T15:43:48.91" personId="{EAC8F53C-8B24-4AB0-A57A-8ADFDC948417}" id="{95C0D6AD-8432-42CD-A0E2-7A67CF4AD89A}">
    <text>Still working to update. Don't trust numbers here yet.</text>
  </threadedComment>
  <threadedComment ref="D28" dT="2024-10-22T17:50:20.77" personId="{EAC8F53C-8B24-4AB0-A57A-8ADFDC948417}" id="{3A34BD28-B8CC-47D0-9D97-C42163BC2693}" parentId="{95C0D6AD-8432-42CD-A0E2-7A67CF4AD89A}">
    <text xml:space="preserve">Updated as of 10/22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841E-5EE8-46D4-A0EF-E941FB69D644}">
  <sheetPr codeName="Sheet4">
    <tabColor theme="3"/>
  </sheetPr>
  <dimension ref="A1:AA101"/>
  <sheetViews>
    <sheetView topLeftCell="A6" zoomScale="110" zoomScaleNormal="110" workbookViewId="0">
      <pane xSplit="4" topLeftCell="E1" activePane="topRight" state="frozen"/>
      <selection pane="topRight" activeCell="K33" sqref="K33"/>
    </sheetView>
  </sheetViews>
  <sheetFormatPr baseColWidth="10" defaultColWidth="10.1640625" defaultRowHeight="19" outlineLevelRow="1" outlineLevelCol="2"/>
  <cols>
    <col min="1" max="2" width="2.1640625" style="1" customWidth="1"/>
    <col min="3" max="3" width="11" style="2" customWidth="1"/>
    <col min="4" max="4" width="29.83203125" style="3" customWidth="1"/>
    <col min="5" max="5" width="53.83203125" style="4" customWidth="1"/>
    <col min="6" max="7" width="15.1640625" style="5" hidden="1" customWidth="1" outlineLevel="1"/>
    <col min="8" max="8" width="16.83203125" style="5" hidden="1" customWidth="1" outlineLevel="1"/>
    <col min="9" max="9" width="5.5" style="5" hidden="1" customWidth="1" outlineLevel="1"/>
    <col min="10" max="10" width="21.5" style="5" customWidth="1" outlineLevel="1"/>
    <col min="11" max="13" width="24.1640625" style="5" customWidth="1" outlineLevel="2"/>
    <col min="14" max="16" width="10.1640625" style="1"/>
    <col min="17" max="18" width="10.83203125" style="1" bestFit="1" customWidth="1"/>
    <col min="19" max="16384" width="10.1640625" style="1"/>
  </cols>
  <sheetData>
    <row r="1" spans="1:27">
      <c r="G1" s="5" t="s">
        <v>181</v>
      </c>
      <c r="H1" s="5" t="s">
        <v>182</v>
      </c>
      <c r="I1" s="5" t="s">
        <v>183</v>
      </c>
    </row>
    <row r="2" spans="1:27">
      <c r="E2" s="6"/>
      <c r="F2" s="5" t="s">
        <v>184</v>
      </c>
      <c r="G2" s="7" t="e">
        <f>F7/#REF!</f>
        <v>#REF!</v>
      </c>
      <c r="H2" s="7" t="e">
        <f>F10/#REF!</f>
        <v>#REF!</v>
      </c>
      <c r="I2" s="7">
        <f>F7/F10</f>
        <v>0.69795834651075062</v>
      </c>
      <c r="J2" s="7"/>
      <c r="R2" s="101" t="s">
        <v>185</v>
      </c>
      <c r="S2" s="101" t="s">
        <v>186</v>
      </c>
      <c r="T2" s="101" t="s">
        <v>187</v>
      </c>
      <c r="U2" s="101" t="s">
        <v>188</v>
      </c>
      <c r="V2" s="101" t="s">
        <v>189</v>
      </c>
    </row>
    <row r="3" spans="1:27">
      <c r="E3" s="6"/>
      <c r="F3" s="7" t="s">
        <v>190</v>
      </c>
      <c r="G3" s="7" t="e">
        <f>J7/#REF!</f>
        <v>#REF!</v>
      </c>
      <c r="H3" s="7" t="e">
        <f>J10/#REF!</f>
        <v>#REF!</v>
      </c>
      <c r="I3" s="7">
        <f>J7/J10</f>
        <v>0.87123811180888988</v>
      </c>
      <c r="J3" s="7"/>
      <c r="K3" s="7"/>
      <c r="L3" s="7"/>
      <c r="M3" s="7"/>
    </row>
    <row r="4" spans="1:27" ht="17" customHeight="1">
      <c r="F4" s="8"/>
      <c r="G4" s="8"/>
      <c r="H4" s="8"/>
      <c r="I4" s="8"/>
      <c r="J4" s="7"/>
      <c r="K4" s="7"/>
      <c r="L4" s="7"/>
      <c r="M4" s="7"/>
      <c r="N4" s="1" t="s">
        <v>191</v>
      </c>
    </row>
    <row r="5" spans="1:27">
      <c r="C5" s="2" t="s">
        <v>192</v>
      </c>
      <c r="E5" s="4" t="s">
        <v>193</v>
      </c>
      <c r="G5" s="5">
        <v>0.43500000000000005</v>
      </c>
      <c r="H5" s="5">
        <v>0.48100000000000004</v>
      </c>
      <c r="I5" s="5">
        <v>8.3999999999999991E-2</v>
      </c>
      <c r="K5" s="10"/>
      <c r="L5" s="10"/>
      <c r="M5" s="10" t="e">
        <f>J7/#REF!</f>
        <v>#REF!</v>
      </c>
      <c r="N5" s="1">
        <v>3076553.7726694494</v>
      </c>
    </row>
    <row r="6" spans="1:27" ht="39">
      <c r="C6" s="192">
        <v>2024</v>
      </c>
      <c r="F6" s="11" t="s">
        <v>194</v>
      </c>
      <c r="G6" s="11" t="s">
        <v>195</v>
      </c>
      <c r="H6" s="11" t="s">
        <v>196</v>
      </c>
      <c r="I6" s="11" t="s">
        <v>197</v>
      </c>
      <c r="J6" s="142" t="s">
        <v>75</v>
      </c>
      <c r="K6" s="142" t="s">
        <v>88</v>
      </c>
      <c r="L6" s="142" t="s">
        <v>76</v>
      </c>
      <c r="M6" s="142" t="s">
        <v>83</v>
      </c>
    </row>
    <row r="7" spans="1:27" s="12" customFormat="1" ht="13.5" customHeight="1">
      <c r="C7" s="192"/>
      <c r="D7" s="13" t="s">
        <v>654</v>
      </c>
      <c r="E7" s="149" t="s">
        <v>199</v>
      </c>
      <c r="F7" s="15">
        <f>SUM(G7:I7)</f>
        <v>30234899.489999998</v>
      </c>
      <c r="G7" s="15">
        <f>F8*0.435</f>
        <v>13152181.27815</v>
      </c>
      <c r="H7" s="15">
        <f>F8*0.481</f>
        <v>14542986.654689999</v>
      </c>
      <c r="I7" s="15">
        <f>F8*0.084</f>
        <v>2539731.5571599999</v>
      </c>
      <c r="J7" s="170">
        <f>SUM(K7:M7)</f>
        <v>91833011</v>
      </c>
      <c r="K7" s="171">
        <v>16973482</v>
      </c>
      <c r="L7" s="171">
        <v>36421470</v>
      </c>
      <c r="M7" s="171">
        <v>38438059</v>
      </c>
      <c r="Q7" s="97">
        <f>M7/26</f>
        <v>1478386.8846153845</v>
      </c>
    </row>
    <row r="8" spans="1:27" s="16" customFormat="1" ht="13.5" hidden="1" customHeight="1">
      <c r="A8" s="16" t="str">
        <f>IFERROR(VLOOKUP(#REF!,$B$2:$H$133,7,FALSE),"")</f>
        <v/>
      </c>
      <c r="B8" s="16" t="str">
        <f>IFERROR(VLOOKUP(#REF!,$B$2:$H$133,7,FALSE),"")</f>
        <v/>
      </c>
      <c r="C8" s="192"/>
      <c r="D8" s="143" t="s">
        <v>646</v>
      </c>
      <c r="E8" s="14" t="s">
        <v>199</v>
      </c>
      <c r="F8" s="15">
        <f>SUM(G8:I8)</f>
        <v>30234899.489999998</v>
      </c>
      <c r="G8" s="15">
        <f>14867425.45+12474.5</f>
        <v>14879899.949999999</v>
      </c>
      <c r="H8" s="15">
        <v>15354999.539999999</v>
      </c>
      <c r="I8" s="15">
        <v>0</v>
      </c>
      <c r="J8" s="169" t="s">
        <v>655</v>
      </c>
      <c r="K8" s="169" t="s">
        <v>656</v>
      </c>
      <c r="L8" s="169" t="s">
        <v>657</v>
      </c>
      <c r="M8" s="169" t="s">
        <v>658</v>
      </c>
      <c r="N8" s="16" t="str">
        <f>IFERROR(VLOOKUP(#REF!,$B$2:$H$133,7,FALSE),"")</f>
        <v/>
      </c>
      <c r="O8" s="16" t="str">
        <f>IFERROR(VLOOKUP(#REF!,$B$2:$H$133,7,FALSE),"")</f>
        <v/>
      </c>
      <c r="P8" s="16" t="str">
        <f>IFERROR(VLOOKUP(#REF!,$B$2:$H$133,7,FALSE),"")</f>
        <v/>
      </c>
      <c r="Q8" s="98" t="str">
        <f>IFERROR(VLOOKUP(#REF!,$B$2:$H$133,7,FALSE),"")</f>
        <v/>
      </c>
      <c r="R8" s="16" t="str">
        <f>IFERROR(VLOOKUP(#REF!,$B$2:$H$133,7,FALSE),"")</f>
        <v/>
      </c>
      <c r="S8" s="16" t="str">
        <f>IFERROR(VLOOKUP(#REF!,$B$2:$H$133,7,FALSE),"")</f>
        <v/>
      </c>
      <c r="T8" s="16" t="str">
        <f>IFERROR(VLOOKUP(#REF!,$B$2:$H$133,7,FALSE),"")</f>
        <v/>
      </c>
      <c r="U8" s="16" t="str">
        <f>IFERROR(VLOOKUP(#REF!,$B$2:$H$133,7,FALSE),"")</f>
        <v/>
      </c>
      <c r="V8" s="16" t="str">
        <f>IFERROR(VLOOKUP(#REF!,$B$2:$H$133,7,FALSE),"")</f>
        <v/>
      </c>
      <c r="W8" s="16" t="str">
        <f>IFERROR(VLOOKUP(#REF!,$B$2:$H$133,7,FALSE),"")</f>
        <v/>
      </c>
      <c r="X8" s="16" t="str">
        <f>IFERROR(VLOOKUP(#REF!,$B$2:$H$133,7,FALSE),"")</f>
        <v/>
      </c>
      <c r="Y8" s="16" t="str">
        <f>IFERROR(VLOOKUP(#REF!,$B$2:$H$133,7,FALSE),"")</f>
        <v/>
      </c>
      <c r="Z8" s="16" t="str">
        <f>IFERROR(VLOOKUP(#REF!,$B$2:$H$133,7,FALSE),"")</f>
        <v/>
      </c>
      <c r="AA8" s="16" t="str">
        <f>IFERROR(VLOOKUP(#REF!,$B$2:$H$133,7,FALSE),"")</f>
        <v/>
      </c>
    </row>
    <row r="9" spans="1:27" s="16" customFormat="1" ht="13.5" customHeight="1">
      <c r="C9" s="192"/>
      <c r="D9" s="17" t="s">
        <v>646</v>
      </c>
      <c r="E9" s="149"/>
      <c r="F9" s="15"/>
      <c r="G9" s="15"/>
      <c r="H9" s="15"/>
      <c r="I9" s="15"/>
      <c r="J9" s="39">
        <v>102724450.27</v>
      </c>
      <c r="K9" s="39">
        <v>18975367.008049998</v>
      </c>
      <c r="L9" s="39">
        <v>39474090.199900001</v>
      </c>
      <c r="M9" s="39">
        <v>44274993.06205</v>
      </c>
      <c r="Q9" s="98"/>
    </row>
    <row r="10" spans="1:27" ht="12" customHeight="1">
      <c r="C10" s="192"/>
      <c r="D10" s="143" t="s">
        <v>659</v>
      </c>
      <c r="F10" s="18">
        <v>43319060</v>
      </c>
      <c r="G10" s="18">
        <v>20445656</v>
      </c>
      <c r="H10" s="18">
        <v>22873404</v>
      </c>
      <c r="I10" s="18">
        <v>0</v>
      </c>
      <c r="J10" s="18">
        <v>105405181.15000001</v>
      </c>
      <c r="K10" s="18">
        <v>19253167.879999999</v>
      </c>
      <c r="L10" s="18">
        <v>40869348.18</v>
      </c>
      <c r="M10" s="18">
        <v>45282665.960000001</v>
      </c>
      <c r="Q10" s="99">
        <f>Q7/107</f>
        <v>13816.699856218547</v>
      </c>
    </row>
    <row r="11" spans="1:27" ht="11.5" customHeight="1">
      <c r="C11" s="192"/>
      <c r="D11" s="141" t="s">
        <v>647</v>
      </c>
      <c r="F11" s="19">
        <f>F7/F10</f>
        <v>0.69795834651075062</v>
      </c>
      <c r="G11" s="19">
        <f>G8/G10</f>
        <v>0.72777806444557214</v>
      </c>
      <c r="H11" s="19">
        <f>H8/H10</f>
        <v>0.67130364767745099</v>
      </c>
      <c r="I11" s="19">
        <v>0</v>
      </c>
      <c r="J11" s="145">
        <v>0.89</v>
      </c>
      <c r="K11" s="145">
        <v>0.89</v>
      </c>
      <c r="L11" s="145">
        <v>0.92</v>
      </c>
      <c r="M11" s="145">
        <v>0.87</v>
      </c>
    </row>
    <row r="12" spans="1:27" ht="11.5" customHeight="1">
      <c r="C12" s="192"/>
      <c r="D12" s="141" t="s">
        <v>200</v>
      </c>
      <c r="F12" s="19"/>
      <c r="G12" s="19"/>
      <c r="H12" s="19"/>
      <c r="I12" s="19"/>
      <c r="J12" s="145">
        <v>0.77</v>
      </c>
      <c r="K12" s="145">
        <v>0.14000000000000001</v>
      </c>
      <c r="L12" s="145">
        <v>0.3</v>
      </c>
      <c r="M12" s="145">
        <v>0.32</v>
      </c>
    </row>
    <row r="13" spans="1:27" s="20" customFormat="1" ht="11.5" hidden="1" customHeight="1">
      <c r="C13" s="192"/>
      <c r="D13" s="21" t="s">
        <v>201</v>
      </c>
      <c r="E13" s="22"/>
      <c r="F13" s="23"/>
      <c r="G13" s="23"/>
      <c r="H13" s="23"/>
      <c r="I13" s="23"/>
      <c r="J13" s="24"/>
      <c r="K13" s="24"/>
      <c r="L13" s="24"/>
      <c r="M13" s="24"/>
    </row>
    <row r="14" spans="1:27" ht="11.5" hidden="1" customHeight="1">
      <c r="C14" s="192"/>
      <c r="D14" s="3" t="s">
        <v>202</v>
      </c>
      <c r="F14" s="18"/>
      <c r="G14" s="18"/>
      <c r="H14" s="18"/>
      <c r="I14" s="18"/>
      <c r="J14" s="102"/>
      <c r="K14" s="102"/>
      <c r="L14" s="102"/>
      <c r="M14" s="102"/>
    </row>
    <row r="15" spans="1:27" s="20" customFormat="1" ht="11.5" hidden="1" customHeight="1">
      <c r="C15" s="192"/>
      <c r="D15" s="21" t="s">
        <v>203</v>
      </c>
      <c r="E15" s="22"/>
      <c r="F15" s="24"/>
      <c r="G15" s="24"/>
      <c r="H15" s="24"/>
      <c r="I15" s="24"/>
      <c r="J15" s="24"/>
      <c r="K15" s="24"/>
      <c r="L15" s="24"/>
      <c r="M15" s="24"/>
    </row>
    <row r="16" spans="1:27" s="12" customFormat="1" ht="11.5" hidden="1" customHeight="1">
      <c r="C16" s="192"/>
      <c r="D16" s="25" t="s">
        <v>204</v>
      </c>
      <c r="E16" s="26"/>
      <c r="F16" s="27"/>
      <c r="G16" s="27"/>
      <c r="H16" s="27"/>
      <c r="I16" s="27"/>
      <c r="J16" s="27"/>
      <c r="K16" s="27"/>
      <c r="L16" s="27"/>
      <c r="M16" s="27"/>
    </row>
    <row r="17" spans="3:23" ht="3" customHeight="1">
      <c r="C17" s="193"/>
      <c r="D17" s="28"/>
      <c r="E17" s="29"/>
      <c r="F17" s="30"/>
      <c r="G17" s="30"/>
      <c r="H17" s="30"/>
      <c r="I17" s="30"/>
      <c r="J17" s="103"/>
      <c r="K17" s="103"/>
      <c r="L17" s="103"/>
      <c r="M17" s="103"/>
    </row>
    <row r="18" spans="3:23" ht="39">
      <c r="C18" s="162" t="s">
        <v>205</v>
      </c>
      <c r="D18" s="32"/>
      <c r="E18" s="33" t="s">
        <v>193</v>
      </c>
      <c r="F18" s="11" t="s">
        <v>194</v>
      </c>
      <c r="G18" s="11" t="s">
        <v>195</v>
      </c>
      <c r="H18" s="11" t="s">
        <v>196</v>
      </c>
      <c r="I18" s="11" t="s">
        <v>197</v>
      </c>
      <c r="J18" s="11" t="s">
        <v>75</v>
      </c>
      <c r="K18" s="11" t="s">
        <v>88</v>
      </c>
      <c r="L18" s="11" t="s">
        <v>76</v>
      </c>
      <c r="M18" s="11" t="s">
        <v>83</v>
      </c>
    </row>
    <row r="19" spans="3:23">
      <c r="C19" s="31"/>
      <c r="D19" s="146" t="s">
        <v>660</v>
      </c>
      <c r="E19" s="4" t="s">
        <v>206</v>
      </c>
      <c r="F19" s="147"/>
      <c r="G19" s="147"/>
      <c r="H19" s="147"/>
      <c r="I19" s="147"/>
      <c r="J19" s="148">
        <f>AVERAGE(K19:M19)</f>
        <v>0.159</v>
      </c>
      <c r="K19" s="148">
        <v>0.159</v>
      </c>
      <c r="L19" s="148">
        <v>0.159</v>
      </c>
      <c r="M19" s="148">
        <v>0.159</v>
      </c>
    </row>
    <row r="20" spans="3:23" ht="15" customHeight="1">
      <c r="C20" s="194">
        <v>2025</v>
      </c>
      <c r="D20" s="150" t="s">
        <v>648</v>
      </c>
      <c r="E20" s="36" t="s">
        <v>207</v>
      </c>
      <c r="F20" s="35" t="e">
        <f>F22/F7-1</f>
        <v>#REF!</v>
      </c>
      <c r="G20" s="35">
        <f>G22/G7-1</f>
        <v>0.19537373527149571</v>
      </c>
      <c r="H20" s="35" t="e">
        <f>H22/H7-1</f>
        <v>#REF!</v>
      </c>
      <c r="I20" s="35">
        <f>I22/I7-1</f>
        <v>0.56783235332758286</v>
      </c>
      <c r="J20" s="173" t="s">
        <v>664</v>
      </c>
      <c r="K20" s="173" t="s">
        <v>665</v>
      </c>
      <c r="L20" s="173" t="s">
        <v>666</v>
      </c>
      <c r="M20" s="173" t="s">
        <v>667</v>
      </c>
    </row>
    <row r="21" spans="3:23" ht="12">
      <c r="C21" s="194"/>
      <c r="D21" s="150" t="s">
        <v>661</v>
      </c>
      <c r="E21" s="36"/>
      <c r="F21" s="37" t="e">
        <f>F22/F10-1</f>
        <v>#REF!</v>
      </c>
      <c r="G21" s="37">
        <f>G22/G10-1</f>
        <v>-0.23104584849564136</v>
      </c>
      <c r="H21" s="37" t="e">
        <f>H22/H10-1</f>
        <v>#REF!</v>
      </c>
      <c r="I21" s="37"/>
      <c r="J21" s="37" cm="1">
        <f t="array" ref="J21">_xlfn.LET(
  _xlpm.a, J$20,
  _xlpm.b, J$9,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_xlpm.toNum(_xlpm.a)/_xlpm.toNum(_xlpm.b)-1
)</f>
        <v>3.6111653265117116E-2</v>
      </c>
      <c r="K21" s="37" cm="1">
        <f t="array" ref="K21">_xlfn.LET(
  _xlpm.a, K$20,
  _xlpm.b, K$9,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_xlpm.toNum(_xlpm.a)/_xlpm.toNum(_xlpm.b)-1
)</f>
        <v>3.6712491076165588E-2</v>
      </c>
      <c r="L21" s="37" cm="1">
        <f t="array" ref="L21">_xlfn.LET(
  _xlpm.a, L$20,
  _xlpm.b, L$9,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_xlpm.toNum(_xlpm.a)/_xlpm.toNum(_xlpm.b)-1
)</f>
        <v>6.9359668233897276E-2</v>
      </c>
      <c r="M21" s="37" cm="1">
        <f t="array" ref="M21">_xlfn.LET(
  _xlpm.a, M$20,
  _xlpm.b, M$9,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_xlpm.toNum(_xlpm.a)/_xlpm.toNum(_xlpm.b)-1
)</f>
        <v>6.211337798847083E-3</v>
      </c>
    </row>
    <row r="22" spans="3:23" ht="12">
      <c r="C22" s="194"/>
      <c r="D22" s="150" t="s">
        <v>208</v>
      </c>
      <c r="E22" s="36" t="s">
        <v>209</v>
      </c>
      <c r="F22" s="38" t="e">
        <f>(#REF!*#REF!)+N5</f>
        <v>#REF!</v>
      </c>
      <c r="G22" s="38">
        <f>15441772.06143+280000</f>
        <v>15721772.06143</v>
      </c>
      <c r="H22" s="38" t="e">
        <f>F22-G22-I22</f>
        <v>#REF!</v>
      </c>
      <c r="I22" s="38">
        <f>3727324.29069+N22</f>
        <v>3981873.3040824891</v>
      </c>
      <c r="J22" s="40">
        <v>7.0000000000000007E-2</v>
      </c>
      <c r="K22" s="40">
        <v>7.0000000000000007E-2</v>
      </c>
      <c r="L22" s="40">
        <v>7.0000000000000007E-2</v>
      </c>
      <c r="M22" s="40">
        <v>7.0000000000000007E-2</v>
      </c>
      <c r="N22" s="39">
        <v>254549.013392489</v>
      </c>
      <c r="Q22" s="39">
        <f>M22-M7</f>
        <v>-38438058.93</v>
      </c>
      <c r="R22" s="100">
        <f>Q22/M7</f>
        <v>-0.99999999817888829</v>
      </c>
    </row>
    <row r="23" spans="3:23" ht="15" customHeight="1">
      <c r="C23" s="194"/>
      <c r="D23" s="150" t="s">
        <v>210</v>
      </c>
      <c r="E23" s="36" t="s">
        <v>211</v>
      </c>
      <c r="F23" s="40">
        <v>0.05</v>
      </c>
      <c r="G23" s="40">
        <v>7.0000000000000007E-2</v>
      </c>
      <c r="H23" s="40">
        <v>0.05</v>
      </c>
      <c r="I23" s="40">
        <v>3.5000000000000003E-2</v>
      </c>
      <c r="J23" s="18">
        <f>SUM(K23:M23)</f>
        <v>113884380</v>
      </c>
      <c r="K23" s="18" cm="1">
        <f t="array" ref="K23">_xlfn.LET(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_xlpm.toNum(K$20)*(1+K$22)
)</f>
        <v>21049040</v>
      </c>
      <c r="L23" s="18" cm="1">
        <f t="array" ref="L23">_xlfn.LET(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_xlpm.toNum(L$20)*(1+L$22)
)</f>
        <v>45166840</v>
      </c>
      <c r="M23" s="18" cm="1">
        <f t="array" ref="M23">_xlfn.LET(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_xlpm.toNum(M$20)*(1+M$22)
)</f>
        <v>47668500</v>
      </c>
    </row>
    <row r="24" spans="3:23" ht="15" customHeight="1">
      <c r="C24" s="194"/>
      <c r="D24" s="166" t="s">
        <v>649</v>
      </c>
      <c r="E24" s="167" t="s">
        <v>212</v>
      </c>
      <c r="F24" s="18" t="e">
        <f>(1+F23)*F22</f>
        <v>#REF!</v>
      </c>
      <c r="G24" s="18">
        <f>(1+G23)*G22</f>
        <v>16822296.105730101</v>
      </c>
      <c r="H24" s="18" t="e">
        <f>(1+H23)*H22</f>
        <v>#REF!</v>
      </c>
      <c r="I24" s="18">
        <f>(1+I23)*I22</f>
        <v>4121238.8697253759</v>
      </c>
      <c r="J24" s="168">
        <f>SUM(K24:M24)</f>
        <v>104</v>
      </c>
      <c r="K24" s="168">
        <v>35</v>
      </c>
      <c r="L24" s="168">
        <v>41</v>
      </c>
      <c r="M24" s="168">
        <v>28</v>
      </c>
    </row>
    <row r="25" spans="3:23" ht="15" customHeight="1">
      <c r="C25" s="194"/>
      <c r="D25" s="150" t="s">
        <v>650</v>
      </c>
      <c r="E25" s="36" t="s">
        <v>213</v>
      </c>
      <c r="F25" s="41">
        <f>SUM(G25:I25)</f>
        <v>112</v>
      </c>
      <c r="G25" s="41">
        <v>56</v>
      </c>
      <c r="H25" s="41">
        <v>48</v>
      </c>
      <c r="I25" s="41">
        <v>8</v>
      </c>
      <c r="J25" s="42">
        <v>0.95155460786982426</v>
      </c>
      <c r="K25" s="42">
        <v>0.96312576312576303</v>
      </c>
      <c r="L25" s="42">
        <v>0.94047619047619047</v>
      </c>
      <c r="M25" s="42">
        <v>0.95192307692307687</v>
      </c>
      <c r="N25" s="39"/>
    </row>
    <row r="26" spans="3:23" ht="15" customHeight="1">
      <c r="C26" s="194"/>
      <c r="D26" s="150" t="s">
        <v>651</v>
      </c>
      <c r="E26" s="36" t="s">
        <v>215</v>
      </c>
      <c r="F26" s="42">
        <v>0.94772685247286426</v>
      </c>
      <c r="G26" s="42">
        <v>0.91950530469260383</v>
      </c>
      <c r="H26" s="42">
        <v>0.97158804363848661</v>
      </c>
      <c r="I26" s="42"/>
      <c r="J26" s="43">
        <f t="shared" ref="J26:M26" si="0">J25*J24</f>
        <v>98.961679218461725</v>
      </c>
      <c r="K26" s="43">
        <f t="shared" si="0"/>
        <v>33.709401709401703</v>
      </c>
      <c r="L26" s="43">
        <f t="shared" si="0"/>
        <v>38.55952380952381</v>
      </c>
      <c r="M26" s="43">
        <f t="shared" si="0"/>
        <v>26.653846153846153</v>
      </c>
    </row>
    <row r="27" spans="3:23" ht="15" customHeight="1" outlineLevel="1">
      <c r="C27" s="194"/>
      <c r="D27" s="150" t="s">
        <v>662</v>
      </c>
      <c r="E27" s="36"/>
      <c r="F27" s="43">
        <f t="shared" ref="F27:I27" si="1">F26*F25</f>
        <v>106.1454074769608</v>
      </c>
      <c r="G27" s="43">
        <f t="shared" si="1"/>
        <v>51.492297062785816</v>
      </c>
      <c r="H27" s="43">
        <f t="shared" si="1"/>
        <v>46.636226094647355</v>
      </c>
      <c r="I27" s="43">
        <f t="shared" si="1"/>
        <v>0</v>
      </c>
      <c r="J27" s="43">
        <v>107</v>
      </c>
      <c r="K27" s="43">
        <v>39</v>
      </c>
      <c r="L27" s="43">
        <v>42</v>
      </c>
      <c r="M27" s="43">
        <v>26</v>
      </c>
      <c r="R27" s="99" t="e">
        <f>#REF!*10%</f>
        <v>#REF!</v>
      </c>
      <c r="S27" s="99" t="e">
        <f>#REF!*11%</f>
        <v>#REF!</v>
      </c>
      <c r="T27" s="99" t="e">
        <f>#REF!*2%</f>
        <v>#REF!</v>
      </c>
      <c r="U27" s="99" t="e">
        <f>#REF!*16%</f>
        <v>#REF!</v>
      </c>
      <c r="V27" s="99" t="e">
        <f>#REF!*28%</f>
        <v>#REF!</v>
      </c>
      <c r="W27" s="99" t="e">
        <f>#REF!*32%</f>
        <v>#REF!</v>
      </c>
    </row>
    <row r="28" spans="3:23" ht="26.25" customHeight="1" outlineLevel="1">
      <c r="C28" s="194"/>
      <c r="D28" s="150" t="s">
        <v>214</v>
      </c>
      <c r="E28" s="36"/>
      <c r="F28" s="44">
        <v>0.14782608695652175</v>
      </c>
      <c r="G28" s="44">
        <v>0.17821782178217821</v>
      </c>
      <c r="H28" s="44">
        <v>0.12403100775193798</v>
      </c>
      <c r="I28" s="44"/>
      <c r="J28" s="43">
        <f>K28+L28+M28</f>
        <v>101.81190476190476</v>
      </c>
      <c r="K28" s="43">
        <f>K25*K27</f>
        <v>37.561904761904756</v>
      </c>
      <c r="L28" s="43">
        <f>L25*L27</f>
        <v>39.5</v>
      </c>
      <c r="M28" s="43">
        <f>M25*M27</f>
        <v>24.75</v>
      </c>
    </row>
    <row r="29" spans="3:23" ht="26" customHeight="1" outlineLevel="1">
      <c r="C29" s="194"/>
      <c r="D29" s="150" t="s">
        <v>216</v>
      </c>
      <c r="E29" s="36" t="s">
        <v>217</v>
      </c>
      <c r="F29" s="43">
        <f>SUM(G29:I29)</f>
        <v>96.066313608105006</v>
      </c>
      <c r="G29" s="43">
        <f>(1-G28)*G25</f>
        <v>46.019801980198025</v>
      </c>
      <c r="H29" s="43">
        <f>(1-H28)*H25</f>
        <v>42.04651162790698</v>
      </c>
      <c r="I29" s="43">
        <f>(1-I28)*I25</f>
        <v>8</v>
      </c>
      <c r="J29" s="43">
        <v>107</v>
      </c>
      <c r="K29" s="43">
        <v>39</v>
      </c>
      <c r="L29" s="43">
        <v>42</v>
      </c>
      <c r="M29" s="43">
        <v>26</v>
      </c>
    </row>
    <row r="30" spans="3:23" ht="26" customHeight="1" outlineLevel="1">
      <c r="C30" s="194"/>
      <c r="D30" s="150" t="s">
        <v>218</v>
      </c>
      <c r="E30" s="36" t="s">
        <v>219</v>
      </c>
      <c r="F30" s="43">
        <f>G30+H30</f>
        <v>108</v>
      </c>
      <c r="G30" s="43">
        <v>52</v>
      </c>
      <c r="H30" s="43">
        <v>56</v>
      </c>
      <c r="I30" s="43"/>
      <c r="J30" s="43">
        <v>104.09200003127066</v>
      </c>
      <c r="K30" s="43">
        <v>37.804164762886785</v>
      </c>
      <c r="L30" s="43">
        <v>40.364499902201807</v>
      </c>
      <c r="M30" s="43">
        <v>25.925000017415584</v>
      </c>
    </row>
    <row r="31" spans="3:23" ht="26.25" customHeight="1">
      <c r="C31" s="194"/>
      <c r="D31" s="150" t="s">
        <v>220</v>
      </c>
      <c r="E31" s="36" t="s">
        <v>219</v>
      </c>
      <c r="F31" s="43">
        <f>G31+H31</f>
        <v>122</v>
      </c>
      <c r="G31" s="43">
        <v>49</v>
      </c>
      <c r="H31" s="43">
        <v>73</v>
      </c>
      <c r="I31" s="43"/>
      <c r="J31" s="18">
        <v>937156.91100847803</v>
      </c>
      <c r="K31" s="18">
        <v>535131.53079526441</v>
      </c>
      <c r="L31" s="18">
        <v>889906.89286455384</v>
      </c>
      <c r="M31" s="18">
        <v>1596902.215320695</v>
      </c>
    </row>
    <row r="32" spans="3:23" ht="26" customHeight="1">
      <c r="C32" s="194"/>
      <c r="D32" s="150" t="s">
        <v>222</v>
      </c>
      <c r="E32" s="36" t="s">
        <v>223</v>
      </c>
      <c r="F32" s="43">
        <f>H32+G32</f>
        <v>102.22320628777065</v>
      </c>
      <c r="G32" s="43">
        <f>G30*G26</f>
        <v>47.814275844015398</v>
      </c>
      <c r="H32" s="43">
        <f>H30*H26</f>
        <v>54.408930443755253</v>
      </c>
      <c r="I32" s="43"/>
      <c r="J32" s="18">
        <f t="shared" ref="J32:M32" si="2">J7/J28</f>
        <v>901986.96522532217</v>
      </c>
      <c r="K32" s="18">
        <f t="shared" si="2"/>
        <v>451880.22565922927</v>
      </c>
      <c r="L32" s="18">
        <f t="shared" si="2"/>
        <v>922062.5316455696</v>
      </c>
      <c r="M32" s="18">
        <f t="shared" si="2"/>
        <v>1553052.888888889</v>
      </c>
    </row>
    <row r="33" spans="3:14" ht="12">
      <c r="C33" s="194"/>
      <c r="D33" s="150" t="s">
        <v>652</v>
      </c>
      <c r="E33" s="36"/>
      <c r="F33" s="43">
        <f>((G31/F31)*G33)+((H31/F31)*H33)</f>
        <v>51.560163934426228</v>
      </c>
      <c r="G33" s="43">
        <v>49.867999999999995</v>
      </c>
      <c r="H33" s="43">
        <v>52.695999999999998</v>
      </c>
      <c r="I33" s="43"/>
      <c r="J33" s="18" cm="1">
        <f t="array" ref="J33">_xlfn.LET(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_xlpm.toNum(J$20)/_xlpm.toNum(J$24)
)</f>
        <v>1023403.8461538461</v>
      </c>
      <c r="K33" s="18" cm="1">
        <f t="array" ref="K33">_xlfn.LET(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_xlpm.toNum(K$20)/_xlpm.toNum(K$24)
)</f>
        <v>562057.14285714284</v>
      </c>
      <c r="L33" s="18" cm="1">
        <f t="array" ref="L33">_xlfn.LET(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_xlpm.toNum(L$20)/_xlpm.toNum(L$24)
)</f>
        <v>1029560.9756097561</v>
      </c>
      <c r="M33" s="18" cm="1">
        <f t="array" ref="M33">_xlfn.LET(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_xlpm.toNum(M$20)/_xlpm.toNum(M$24)
)</f>
        <v>1591071.4285714286</v>
      </c>
    </row>
    <row r="34" spans="3:14" ht="12">
      <c r="C34" s="194"/>
      <c r="D34" s="150" t="s">
        <v>663</v>
      </c>
      <c r="E34" s="36" t="s">
        <v>224</v>
      </c>
      <c r="F34" s="18">
        <f>F7/F32</f>
        <v>295773.34333346103</v>
      </c>
      <c r="G34" s="18">
        <f>G7/G32</f>
        <v>275068.08470876742</v>
      </c>
      <c r="H34" s="18">
        <f>H7/H32</f>
        <v>267290.43442093907</v>
      </c>
      <c r="I34" s="18"/>
      <c r="J34" s="47">
        <f t="shared" ref="J34:M34" si="3">J33/J32-1</f>
        <v>0.13461046069351257</v>
      </c>
      <c r="K34" s="47">
        <f t="shared" si="3"/>
        <v>0.24381885053098107</v>
      </c>
      <c r="L34" s="47">
        <f t="shared" si="3"/>
        <v>0.11658476543053764</v>
      </c>
      <c r="M34" s="47">
        <f t="shared" si="3"/>
        <v>2.4479874416730052E-2</v>
      </c>
      <c r="N34" s="46"/>
    </row>
    <row r="35" spans="3:14" ht="12" hidden="1">
      <c r="C35" s="194"/>
      <c r="D35" s="34" t="s">
        <v>221</v>
      </c>
      <c r="E35" s="45"/>
      <c r="F35" s="18"/>
      <c r="G35" s="18">
        <f>G14/G32</f>
        <v>0</v>
      </c>
      <c r="H35" s="18">
        <f>H14/H32</f>
        <v>0</v>
      </c>
      <c r="I35" s="18"/>
      <c r="J35" s="18">
        <f>J14/J32</f>
        <v>0</v>
      </c>
      <c r="K35" s="18">
        <f>K14/K32</f>
        <v>0</v>
      </c>
      <c r="L35" s="18">
        <f>L14/L32</f>
        <v>0</v>
      </c>
      <c r="M35" s="18">
        <f>M14/M32</f>
        <v>0</v>
      </c>
    </row>
    <row r="36" spans="3:14" ht="8.5" customHeight="1">
      <c r="C36" s="194"/>
      <c r="D36" s="28"/>
      <c r="E36" s="29"/>
      <c r="F36" s="30"/>
      <c r="G36" s="30"/>
      <c r="H36" s="30"/>
      <c r="I36" s="30"/>
      <c r="J36" s="30"/>
      <c r="K36" s="30"/>
      <c r="L36" s="30"/>
      <c r="M36" s="30"/>
    </row>
    <row r="37" spans="3:14" ht="12">
      <c r="C37" s="194"/>
      <c r="D37" s="150" t="s">
        <v>225</v>
      </c>
      <c r="E37" s="45" t="s">
        <v>226</v>
      </c>
      <c r="F37" s="18" t="e">
        <f>F24/F25</f>
        <v>#REF!</v>
      </c>
      <c r="G37" s="18">
        <f t="shared" ref="G37:I37" si="4">G24/G25</f>
        <v>300398.14474518038</v>
      </c>
      <c r="H37" s="18" t="e">
        <f t="shared" si="4"/>
        <v>#REF!</v>
      </c>
      <c r="I37" s="18">
        <f t="shared" si="4"/>
        <v>515154.85871567199</v>
      </c>
      <c r="J37" s="144" t="s">
        <v>674</v>
      </c>
      <c r="K37" s="172">
        <f>K23/K24</f>
        <v>601401.14285714284</v>
      </c>
      <c r="L37" s="172">
        <f>L23/L24</f>
        <v>1101630.243902439</v>
      </c>
      <c r="M37" s="172">
        <f>M23/M24</f>
        <v>1702446.4285714286</v>
      </c>
    </row>
    <row r="38" spans="3:14" ht="12">
      <c r="C38" s="194"/>
      <c r="D38" s="150" t="s">
        <v>653</v>
      </c>
      <c r="E38" s="45" t="s">
        <v>227</v>
      </c>
      <c r="F38" s="18">
        <f>F10/F30</f>
        <v>401102.40740740742</v>
      </c>
      <c r="G38" s="18">
        <f>G10/G30</f>
        <v>393185.69230769231</v>
      </c>
      <c r="H38" s="18">
        <f>H10/H30</f>
        <v>408453.64285714284</v>
      </c>
      <c r="I38" s="18"/>
      <c r="J38" s="144" t="s">
        <v>675</v>
      </c>
      <c r="K38" s="144" t="s">
        <v>676</v>
      </c>
      <c r="L38" s="144" t="s">
        <v>677</v>
      </c>
      <c r="M38" s="144" t="s">
        <v>678</v>
      </c>
    </row>
    <row r="39" spans="3:14" ht="12">
      <c r="C39" s="194"/>
      <c r="D39" s="150" t="s">
        <v>668</v>
      </c>
      <c r="E39" s="45" t="s">
        <v>211</v>
      </c>
      <c r="F39" s="18" t="e">
        <f>F37-F38</f>
        <v>#REF!</v>
      </c>
      <c r="G39" s="18">
        <f>G37-G38</f>
        <v>-92787.547562511929</v>
      </c>
      <c r="H39" s="18" t="e">
        <f>H37-H38</f>
        <v>#REF!</v>
      </c>
      <c r="I39" s="18"/>
      <c r="J39" s="144" t="s">
        <v>675</v>
      </c>
      <c r="K39" s="144" t="s">
        <v>676</v>
      </c>
      <c r="L39" s="144" t="s">
        <v>677</v>
      </c>
      <c r="M39" s="144" t="s">
        <v>678</v>
      </c>
    </row>
    <row r="40" spans="3:14" ht="12">
      <c r="C40" s="194"/>
      <c r="D40" s="151" t="s">
        <v>228</v>
      </c>
      <c r="E40" s="45" t="s">
        <v>211</v>
      </c>
      <c r="F40" s="44" t="e">
        <f>F37/F38-1</f>
        <v>#REF!</v>
      </c>
      <c r="G40" s="44">
        <f>G37/G38-1</f>
        <v>-0.2359891251838836</v>
      </c>
      <c r="H40" s="44" t="e">
        <f>H37/H38-1</f>
        <v>#REF!</v>
      </c>
      <c r="I40" s="44"/>
      <c r="J40" s="174" cm="1">
        <f t="array" ref="J40">_xlfn.LET(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_xlpm.toNum(J$37)-_xlpm.toNum(J$39)
)</f>
        <v>41000</v>
      </c>
      <c r="K40" s="174" cm="1">
        <f t="array" ref="K40">_xlfn.LET(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_xlpm.toNum(K$37)-_xlpm.toNum(K$39)
)</f>
        <v>29401.142857142957</v>
      </c>
      <c r="L40" s="174" cm="1">
        <f t="array" ref="L40">_xlfn.LET(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_xlpm.toNum(L$37)-_xlpm.toNum(L$39)
)</f>
        <v>108630.24390243995</v>
      </c>
      <c r="M40" s="174" cm="1">
        <f t="array" ref="M40">_xlfn.LET(
  _xlpm.toNum, _xlfn.LAMBDA(_xlpm.x,
    _xlfn.LET(
      _xlpm.t, TRIM(_xlpm.x&amp;""),
      _xlpm.mult, IF(RIGHT(_xlpm.t,1)="k",1000, IF(RIGHT(_xlpm.t,1)="M",1000000, IF(RIGHT(_xlpm.t,1)="B",1000000000,1))),
      _xlpm.n, SUBSTITUTE(SUBSTITUTE(SUBSTITUTE(_xlpm.t,"k",""),"M",""),"B",""),
      VALUE(SUBSTITUTE(_xlpm.n,",",""))*_xlpm.mult
    )
  ),
  _xlpm.toNum(M$37)-_xlpm.toNum(M$39)
)</f>
        <v>-57553.571428569965</v>
      </c>
    </row>
    <row r="41" spans="3:14" ht="12">
      <c r="C41" s="194"/>
      <c r="D41" s="151" t="s">
        <v>229</v>
      </c>
      <c r="J41" s="153">
        <v>0.05</v>
      </c>
      <c r="K41" s="153">
        <v>7.2999999999999995E-2</v>
      </c>
      <c r="L41" s="153">
        <v>0.111</v>
      </c>
      <c r="M41" s="153">
        <v>-4.1000000000000002E-2</v>
      </c>
    </row>
    <row r="42" spans="3:14" ht="14">
      <c r="C42" s="194"/>
      <c r="D42" s="165"/>
      <c r="E42" s="158"/>
      <c r="F42" s="159"/>
      <c r="G42" s="159"/>
      <c r="H42" s="159"/>
      <c r="I42" s="159"/>
      <c r="J42" s="160"/>
      <c r="K42" s="160"/>
      <c r="L42" s="160"/>
      <c r="M42" s="160"/>
    </row>
    <row r="43" spans="3:14" ht="15" customHeight="1" outlineLevel="1">
      <c r="C43" s="194"/>
      <c r="D43" s="143" t="s">
        <v>669</v>
      </c>
      <c r="E43" s="45" t="s">
        <v>230</v>
      </c>
      <c r="F43" s="51" t="e">
        <f>#REF!/F25</f>
        <v>#REF!</v>
      </c>
      <c r="G43" s="51" t="e">
        <f>#REF!/G25</f>
        <v>#REF!</v>
      </c>
      <c r="H43" s="51" t="e">
        <f>#REF!/H25</f>
        <v>#REF!</v>
      </c>
      <c r="I43" s="51" t="e">
        <f>#REF!/I25</f>
        <v>#REF!</v>
      </c>
      <c r="J43" s="154">
        <v>23282</v>
      </c>
      <c r="K43" s="154">
        <v>13632</v>
      </c>
      <c r="L43" s="154">
        <v>6936</v>
      </c>
      <c r="M43" s="154">
        <v>2714</v>
      </c>
    </row>
    <row r="44" spans="3:14" ht="15" customHeight="1" outlineLevel="1">
      <c r="C44" s="194"/>
      <c r="D44" s="143" t="s">
        <v>670</v>
      </c>
      <c r="E44" s="45" t="s">
        <v>231</v>
      </c>
      <c r="F44" s="51">
        <f>G44+H44+I44</f>
        <v>831976</v>
      </c>
      <c r="G44" s="51">
        <v>736685</v>
      </c>
      <c r="H44" s="51">
        <v>95291</v>
      </c>
      <c r="I44" s="51"/>
      <c r="J44" s="155">
        <v>218</v>
      </c>
      <c r="K44" s="155">
        <v>350</v>
      </c>
      <c r="L44" s="155">
        <v>165</v>
      </c>
      <c r="M44" s="155">
        <v>104</v>
      </c>
    </row>
    <row r="45" spans="3:14" ht="15" customHeight="1" outlineLevel="1">
      <c r="C45" s="194"/>
      <c r="D45" s="152" t="s">
        <v>671</v>
      </c>
      <c r="E45" s="45" t="s">
        <v>230</v>
      </c>
      <c r="F45" s="51">
        <f>F30</f>
        <v>108</v>
      </c>
      <c r="G45" s="53">
        <f>G44/G30</f>
        <v>14167.01923076923</v>
      </c>
      <c r="H45" s="53">
        <f>H44/H30</f>
        <v>1701.625</v>
      </c>
      <c r="I45" s="52"/>
      <c r="J45" s="156">
        <v>22147</v>
      </c>
      <c r="K45" s="156">
        <v>12317</v>
      </c>
      <c r="L45" s="156">
        <v>6590</v>
      </c>
      <c r="M45" s="156">
        <v>2887</v>
      </c>
    </row>
    <row r="46" spans="3:14" ht="15" customHeight="1" outlineLevel="1">
      <c r="C46" s="194"/>
      <c r="D46" s="152" t="s">
        <v>672</v>
      </c>
      <c r="E46" s="45" t="s">
        <v>232</v>
      </c>
      <c r="F46" s="51">
        <f>G46+H46+I46</f>
        <v>851113</v>
      </c>
      <c r="G46" s="51">
        <v>751898</v>
      </c>
      <c r="H46" s="51">
        <v>99215</v>
      </c>
      <c r="I46" s="51"/>
      <c r="J46" s="157">
        <v>211</v>
      </c>
      <c r="K46" s="163">
        <f>K45/35</f>
        <v>351.91428571428571</v>
      </c>
      <c r="L46" s="163">
        <f>L45/41</f>
        <v>160.73170731707316</v>
      </c>
      <c r="M46" s="163">
        <f>M45/28</f>
        <v>103.10714285714286</v>
      </c>
    </row>
    <row r="47" spans="3:14" ht="15" customHeight="1" outlineLevel="1">
      <c r="C47" s="194"/>
      <c r="D47" s="140" t="s">
        <v>673</v>
      </c>
      <c r="E47" s="45" t="s">
        <v>230</v>
      </c>
      <c r="F47" s="51">
        <f>F31</f>
        <v>122</v>
      </c>
      <c r="G47" s="53">
        <f>G46/G30</f>
        <v>14459.576923076924</v>
      </c>
      <c r="H47" s="52">
        <f>H46/H30</f>
        <v>1771.6964285714287</v>
      </c>
      <c r="I47" s="52"/>
      <c r="J47" s="155"/>
      <c r="K47" s="164">
        <f>K46-K44</f>
        <v>1.914285714285711</v>
      </c>
      <c r="L47" s="164">
        <f>L46-L44</f>
        <v>-4.2682926829268411</v>
      </c>
      <c r="M47" s="164">
        <f>M46-M44</f>
        <v>-0.8928571428571388</v>
      </c>
    </row>
    <row r="48" spans="3:14" ht="15" hidden="1" customHeight="1" outlineLevel="1">
      <c r="C48" s="194"/>
      <c r="D48" s="50" t="s">
        <v>233</v>
      </c>
      <c r="E48" s="45" t="s">
        <v>234</v>
      </c>
      <c r="F48" s="51">
        <f>G48+H48+I48</f>
        <v>-19137</v>
      </c>
      <c r="G48" s="53">
        <f>G44-G46</f>
        <v>-15213</v>
      </c>
      <c r="H48" s="53">
        <f>H44-H46</f>
        <v>-3924</v>
      </c>
      <c r="I48" s="53"/>
      <c r="J48" s="53">
        <f t="shared" ref="J48:M49" si="5">J44-J46</f>
        <v>7</v>
      </c>
      <c r="K48" s="53">
        <f t="shared" si="5"/>
        <v>-1.914285714285711</v>
      </c>
      <c r="L48" s="53">
        <f t="shared" si="5"/>
        <v>4.2682926829268411</v>
      </c>
      <c r="M48" s="53">
        <f t="shared" si="5"/>
        <v>0.8928571428571388</v>
      </c>
    </row>
    <row r="49" spans="3:13" ht="15" hidden="1" customHeight="1" outlineLevel="1">
      <c r="C49" s="194"/>
      <c r="D49" s="50" t="s">
        <v>235</v>
      </c>
      <c r="E49" s="45" t="s">
        <v>236</v>
      </c>
      <c r="F49" s="51">
        <f>G49+H49+I49</f>
        <v>-362.62912087912196</v>
      </c>
      <c r="G49" s="53">
        <f>G45-G47</f>
        <v>-292.55769230769329</v>
      </c>
      <c r="H49" s="53">
        <f>H45-H47</f>
        <v>-70.071428571428669</v>
      </c>
      <c r="I49" s="53"/>
      <c r="J49" s="53">
        <f t="shared" si="5"/>
        <v>22147</v>
      </c>
      <c r="K49" s="53">
        <f t="shared" si="5"/>
        <v>12315.085714285715</v>
      </c>
      <c r="L49" s="53">
        <f t="shared" si="5"/>
        <v>6594.2682926829266</v>
      </c>
      <c r="M49" s="53">
        <f t="shared" si="5"/>
        <v>2887.8928571428573</v>
      </c>
    </row>
    <row r="50" spans="3:13" ht="15" hidden="1" customHeight="1" outlineLevel="1">
      <c r="C50" s="194"/>
      <c r="D50" s="34" t="s">
        <v>237</v>
      </c>
      <c r="E50" s="45" t="s">
        <v>223</v>
      </c>
      <c r="F50" s="51">
        <f>G50+H50+I50</f>
        <v>848003.65302183898</v>
      </c>
      <c r="G50" s="18">
        <f>G10/G32</f>
        <v>427605.68133876799</v>
      </c>
      <c r="H50" s="18">
        <f>H10/H32</f>
        <v>420397.97168307099</v>
      </c>
      <c r="I50" s="18"/>
      <c r="J50" s="18">
        <f>J10/J32</f>
        <v>116.85887403447023</v>
      </c>
      <c r="K50" s="18">
        <f>K10/K32</f>
        <v>42.606794426360111</v>
      </c>
      <c r="L50" s="18">
        <f>L10/L32</f>
        <v>44.323835724093506</v>
      </c>
      <c r="M50" s="18">
        <f>M10/M32</f>
        <v>29.157195021475978</v>
      </c>
    </row>
    <row r="51" spans="3:13" ht="15" hidden="1" customHeight="1">
      <c r="C51" s="194"/>
      <c r="D51" s="34" t="s">
        <v>238</v>
      </c>
      <c r="E51" s="45" t="s">
        <v>239</v>
      </c>
      <c r="F51" s="51" t="e">
        <f>G51+H51+I51</f>
        <v>#REF!</v>
      </c>
      <c r="G51" s="47" t="e">
        <f>#REF!/G50-1</f>
        <v>#REF!</v>
      </c>
      <c r="H51" s="47" t="e">
        <f>#REF!/H50-1</f>
        <v>#REF!</v>
      </c>
      <c r="I51" s="47"/>
      <c r="J51" s="47" t="e">
        <f>#REF!/J50-1</f>
        <v>#REF!</v>
      </c>
      <c r="K51" s="47" t="e">
        <f>#REF!/K50-1</f>
        <v>#REF!</v>
      </c>
      <c r="L51" s="47" t="e">
        <f>#REF!/L50-1</f>
        <v>#REF!</v>
      </c>
      <c r="M51" s="47" t="e">
        <f>#REF!/M50-1</f>
        <v>#REF!</v>
      </c>
    </row>
    <row r="52" spans="3:13">
      <c r="C52" s="161"/>
      <c r="D52" s="48"/>
      <c r="E52" s="49"/>
      <c r="F52" s="30"/>
      <c r="G52" s="30"/>
      <c r="H52" s="30"/>
      <c r="I52" s="30"/>
      <c r="J52" s="30"/>
      <c r="K52" s="30"/>
      <c r="L52" s="30"/>
      <c r="M52" s="30"/>
    </row>
    <row r="53" spans="3:13">
      <c r="D53" s="54"/>
      <c r="E53" s="45"/>
      <c r="H53" s="19"/>
      <c r="I53" s="19"/>
    </row>
    <row r="54" spans="3:13">
      <c r="F54" s="9"/>
      <c r="G54" s="9"/>
      <c r="H54" s="55"/>
      <c r="I54" s="55"/>
      <c r="M54" s="56"/>
    </row>
    <row r="55" spans="3:13">
      <c r="D55" s="3" t="s">
        <v>240</v>
      </c>
      <c r="F55" s="58"/>
      <c r="G55" s="58"/>
      <c r="H55" s="57"/>
      <c r="I55" s="57"/>
      <c r="L55" s="59"/>
      <c r="M55" s="59"/>
    </row>
    <row r="56" spans="3:13">
      <c r="F56" s="60"/>
      <c r="G56" s="60"/>
      <c r="H56" s="57"/>
      <c r="I56" s="57"/>
    </row>
    <row r="57" spans="3:13">
      <c r="F57" s="61"/>
      <c r="G57" s="61"/>
      <c r="H57" s="62"/>
      <c r="I57" s="62"/>
      <c r="K57" s="63"/>
      <c r="L57" s="63"/>
      <c r="M57" s="63"/>
    </row>
    <row r="58" spans="3:13">
      <c r="E58" s="5"/>
      <c r="H58" s="61"/>
      <c r="I58" s="61"/>
      <c r="J58" s="64"/>
      <c r="K58" s="64"/>
      <c r="L58" s="9"/>
      <c r="M58" s="9"/>
    </row>
    <row r="59" spans="3:13">
      <c r="E59" s="5"/>
      <c r="H59" s="61"/>
      <c r="I59" s="61"/>
      <c r="J59" s="64"/>
      <c r="K59" s="64"/>
    </row>
    <row r="60" spans="3:13">
      <c r="E60" s="5"/>
      <c r="H60" s="57"/>
      <c r="I60" s="57"/>
      <c r="J60" s="64"/>
      <c r="K60" s="64"/>
    </row>
    <row r="61" spans="3:13">
      <c r="E61" s="5"/>
      <c r="H61" s="19"/>
      <c r="I61" s="19"/>
      <c r="J61" s="64"/>
      <c r="K61" s="64"/>
    </row>
    <row r="62" spans="3:13">
      <c r="E62" s="5"/>
      <c r="H62" s="57"/>
      <c r="I62" s="57"/>
      <c r="J62" s="57"/>
      <c r="K62" s="57"/>
      <c r="L62" s="57"/>
      <c r="M62" s="57"/>
    </row>
    <row r="63" spans="3:13">
      <c r="E63" s="5"/>
      <c r="J63" s="64"/>
      <c r="K63" s="64"/>
    </row>
    <row r="64" spans="3:13">
      <c r="E64" s="5"/>
    </row>
    <row r="65" spans="5:13">
      <c r="E65" s="5"/>
      <c r="J65" s="64"/>
      <c r="K65" s="64"/>
    </row>
    <row r="66" spans="5:13">
      <c r="E66" s="5"/>
      <c r="J66" s="64"/>
      <c r="K66" s="64"/>
    </row>
    <row r="67" spans="5:13" ht="17.75" customHeight="1">
      <c r="E67" s="5"/>
    </row>
    <row r="68" spans="5:13">
      <c r="E68" s="5"/>
      <c r="L68"/>
      <c r="M68"/>
    </row>
    <row r="69" spans="5:13">
      <c r="E69" s="5"/>
      <c r="L69"/>
      <c r="M69"/>
    </row>
    <row r="70" spans="5:13">
      <c r="E70" s="5"/>
      <c r="L70"/>
      <c r="M70"/>
    </row>
    <row r="71" spans="5:13">
      <c r="E71" s="5"/>
      <c r="L71"/>
      <c r="M71"/>
    </row>
    <row r="72" spans="5:13">
      <c r="E72" s="5"/>
      <c r="L72"/>
      <c r="M72"/>
    </row>
    <row r="73" spans="5:13">
      <c r="H73"/>
      <c r="I73"/>
      <c r="J73"/>
      <c r="K73"/>
      <c r="L73"/>
      <c r="M73"/>
    </row>
    <row r="74" spans="5:13">
      <c r="H74"/>
      <c r="I74"/>
      <c r="J74"/>
      <c r="K74"/>
      <c r="L74"/>
      <c r="M74"/>
    </row>
    <row r="75" spans="5:13">
      <c r="H75"/>
      <c r="I75"/>
      <c r="J75"/>
      <c r="K75"/>
      <c r="L75"/>
      <c r="M75"/>
    </row>
    <row r="76" spans="5:13">
      <c r="H76"/>
      <c r="I76"/>
      <c r="J76"/>
      <c r="K76"/>
      <c r="L76"/>
      <c r="M76"/>
    </row>
    <row r="77" spans="5:13">
      <c r="H77"/>
      <c r="I77"/>
      <c r="J77"/>
      <c r="K77"/>
      <c r="L77"/>
      <c r="M77"/>
    </row>
    <row r="78" spans="5:13">
      <c r="H78"/>
      <c r="I78"/>
      <c r="J78"/>
      <c r="K78"/>
      <c r="L78"/>
      <c r="M78"/>
    </row>
    <row r="79" spans="5:13">
      <c r="H79"/>
      <c r="I79"/>
      <c r="J79"/>
      <c r="K79"/>
      <c r="L79"/>
      <c r="M79"/>
    </row>
    <row r="80" spans="5:13">
      <c r="H80"/>
      <c r="I80"/>
      <c r="J80"/>
      <c r="K80"/>
      <c r="L80"/>
      <c r="M80"/>
    </row>
    <row r="81" spans="8:13">
      <c r="H81"/>
      <c r="I81"/>
      <c r="J81"/>
      <c r="K81"/>
      <c r="L81"/>
      <c r="M81"/>
    </row>
    <row r="82" spans="8:13">
      <c r="H82"/>
      <c r="I82"/>
      <c r="J82"/>
      <c r="K82"/>
      <c r="L82"/>
      <c r="M82"/>
    </row>
    <row r="83" spans="8:13">
      <c r="H83"/>
      <c r="I83"/>
      <c r="J83"/>
      <c r="K83"/>
      <c r="L83"/>
      <c r="M83"/>
    </row>
    <row r="84" spans="8:13">
      <c r="H84"/>
      <c r="I84"/>
      <c r="J84"/>
      <c r="K84"/>
      <c r="L84"/>
      <c r="M84"/>
    </row>
    <row r="85" spans="8:13">
      <c r="H85"/>
      <c r="I85"/>
      <c r="J85"/>
      <c r="K85"/>
      <c r="L85"/>
      <c r="M85"/>
    </row>
    <row r="86" spans="8:13">
      <c r="H86"/>
      <c r="I86"/>
      <c r="J86"/>
      <c r="K86"/>
      <c r="L86"/>
      <c r="M86"/>
    </row>
    <row r="87" spans="8:13">
      <c r="H87"/>
      <c r="I87"/>
      <c r="J87"/>
      <c r="K87"/>
      <c r="L87"/>
      <c r="M87"/>
    </row>
    <row r="88" spans="8:13">
      <c r="H88"/>
      <c r="I88"/>
      <c r="J88"/>
      <c r="K88"/>
      <c r="L88"/>
      <c r="M88"/>
    </row>
    <row r="89" spans="8:13">
      <c r="H89"/>
      <c r="I89"/>
      <c r="J89"/>
      <c r="K89"/>
      <c r="L89"/>
      <c r="M89"/>
    </row>
    <row r="90" spans="8:13">
      <c r="H90"/>
      <c r="I90"/>
      <c r="J90"/>
      <c r="K90"/>
      <c r="L90"/>
      <c r="M90"/>
    </row>
    <row r="91" spans="8:13">
      <c r="H91"/>
      <c r="I91"/>
      <c r="J91"/>
      <c r="K91"/>
      <c r="L91"/>
      <c r="M91"/>
    </row>
    <row r="92" spans="8:13">
      <c r="H92"/>
      <c r="I92"/>
      <c r="J92"/>
      <c r="K92"/>
      <c r="L92"/>
      <c r="M92"/>
    </row>
    <row r="93" spans="8:13">
      <c r="H93"/>
      <c r="I93"/>
      <c r="J93"/>
      <c r="K93"/>
      <c r="L93"/>
      <c r="M93"/>
    </row>
    <row r="94" spans="8:13">
      <c r="H94"/>
      <c r="I94"/>
      <c r="J94"/>
      <c r="K94"/>
      <c r="L94"/>
      <c r="M94"/>
    </row>
    <row r="95" spans="8:13">
      <c r="H95"/>
      <c r="I95"/>
      <c r="J95"/>
      <c r="K95"/>
      <c r="L95"/>
      <c r="M95"/>
    </row>
    <row r="96" spans="8:13">
      <c r="H96"/>
      <c r="I96"/>
      <c r="J96"/>
      <c r="K96"/>
      <c r="L96"/>
      <c r="M96"/>
    </row>
    <row r="97" spans="8:13">
      <c r="H97"/>
      <c r="I97"/>
      <c r="J97"/>
      <c r="K97"/>
      <c r="L97"/>
      <c r="M97"/>
    </row>
    <row r="98" spans="8:13">
      <c r="H98"/>
      <c r="I98"/>
      <c r="J98"/>
      <c r="K98"/>
      <c r="L98"/>
      <c r="M98"/>
    </row>
    <row r="99" spans="8:13">
      <c r="H99"/>
      <c r="I99"/>
      <c r="J99"/>
      <c r="K99"/>
      <c r="L99"/>
      <c r="M99"/>
    </row>
    <row r="100" spans="8:13">
      <c r="H100"/>
      <c r="I100"/>
      <c r="J100"/>
      <c r="K100"/>
      <c r="L100"/>
      <c r="M100"/>
    </row>
    <row r="101" spans="8:13">
      <c r="H101"/>
      <c r="I101"/>
      <c r="J101"/>
      <c r="K101"/>
      <c r="L101"/>
      <c r="M101"/>
    </row>
  </sheetData>
  <mergeCells count="2">
    <mergeCell ref="C6:C17"/>
    <mergeCell ref="C20:C51"/>
  </mergeCells>
  <pageMargins left="0.7" right="0.7" top="0.75" bottom="0.75" header="0.3" footer="0.3"/>
  <pageSetup orientation="portrait" r:id="rId1"/>
  <customProperties>
    <customPr name="_pios_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0969-AB8D-4332-8DCF-2B432F983EE3}">
  <sheetPr codeName="Sheet1"/>
  <dimension ref="A1:X35"/>
  <sheetViews>
    <sheetView tabSelected="1" workbookViewId="0">
      <selection activeCell="A30" sqref="A30"/>
    </sheetView>
  </sheetViews>
  <sheetFormatPr baseColWidth="10" defaultColWidth="31.5" defaultRowHeight="15"/>
  <cols>
    <col min="1" max="1" width="35.33203125" customWidth="1"/>
    <col min="2" max="2" width="20.1640625" bestFit="1" customWidth="1"/>
    <col min="3" max="3" width="15.6640625" bestFit="1" customWidth="1"/>
    <col min="4" max="7" width="14.83203125" bestFit="1" customWidth="1"/>
    <col min="8" max="9" width="13.83203125" bestFit="1" customWidth="1"/>
    <col min="10" max="10" width="15.33203125" bestFit="1" customWidth="1"/>
    <col min="11" max="11" width="13.83203125" bestFit="1" customWidth="1"/>
    <col min="12" max="12" width="15.6640625" customWidth="1"/>
    <col min="13" max="13" width="14.83203125" bestFit="1" customWidth="1"/>
    <col min="14" max="15" width="13.83203125" bestFit="1" customWidth="1"/>
    <col min="16" max="16" width="14.83203125" bestFit="1" customWidth="1"/>
    <col min="17" max="17" width="13.83203125" bestFit="1" customWidth="1"/>
    <col min="18" max="19" width="14.83203125" bestFit="1" customWidth="1"/>
  </cols>
  <sheetData>
    <row r="1" spans="1:24" s="109" customFormat="1" ht="16">
      <c r="A1" s="110" t="s">
        <v>0</v>
      </c>
      <c r="B1" s="111" t="s">
        <v>728</v>
      </c>
      <c r="C1" s="112" t="s">
        <v>2</v>
      </c>
      <c r="D1" s="136" t="s">
        <v>3</v>
      </c>
      <c r="E1" s="136" t="s">
        <v>4</v>
      </c>
      <c r="F1" s="136" t="s">
        <v>5</v>
      </c>
      <c r="G1" s="136" t="s">
        <v>6</v>
      </c>
      <c r="H1" s="136" t="s">
        <v>7</v>
      </c>
      <c r="I1" s="136" t="s">
        <v>8</v>
      </c>
      <c r="J1" s="113"/>
      <c r="K1" s="135"/>
      <c r="L1" s="135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</row>
    <row r="2" spans="1:24">
      <c r="A2" s="114" t="s">
        <v>9</v>
      </c>
      <c r="B2" s="134">
        <v>114024403.0034</v>
      </c>
      <c r="C2" s="190">
        <v>0.20626</v>
      </c>
      <c r="D2" s="190">
        <v>0.25076500000000002</v>
      </c>
      <c r="E2" s="190">
        <v>0.26674700000000001</v>
      </c>
      <c r="F2" s="190">
        <v>0.27622799999999997</v>
      </c>
      <c r="G2" s="137">
        <v>0.25</v>
      </c>
      <c r="H2" s="137">
        <v>0.3</v>
      </c>
      <c r="I2" s="137">
        <v>0.45</v>
      </c>
      <c r="K2" s="105"/>
      <c r="L2" s="105"/>
      <c r="X2" s="117"/>
    </row>
    <row r="3" spans="1:24">
      <c r="C3" s="118"/>
      <c r="D3" s="83"/>
      <c r="E3" s="117"/>
      <c r="X3" s="117"/>
    </row>
    <row r="5" spans="1:24">
      <c r="A5" s="112" t="s">
        <v>10</v>
      </c>
      <c r="B5" s="112" t="s">
        <v>11</v>
      </c>
      <c r="C5" s="112" t="s">
        <v>12</v>
      </c>
      <c r="D5" s="136" t="s">
        <v>2</v>
      </c>
      <c r="E5" s="136" t="s">
        <v>3</v>
      </c>
      <c r="F5" s="136" t="s">
        <v>4</v>
      </c>
      <c r="G5" s="136" t="s">
        <v>5</v>
      </c>
      <c r="H5" s="138" t="s">
        <v>13</v>
      </c>
      <c r="I5" s="138" t="s">
        <v>14</v>
      </c>
      <c r="J5" s="138" t="s">
        <v>15</v>
      </c>
      <c r="K5" s="138" t="s">
        <v>16</v>
      </c>
      <c r="L5" s="138" t="s">
        <v>17</v>
      </c>
      <c r="M5" s="138" t="s">
        <v>18</v>
      </c>
      <c r="N5" s="138" t="s">
        <v>19</v>
      </c>
      <c r="O5" s="138" t="s">
        <v>20</v>
      </c>
      <c r="P5" s="138" t="s">
        <v>21</v>
      </c>
      <c r="Q5" s="138" t="s">
        <v>22</v>
      </c>
      <c r="R5" s="138" t="s">
        <v>23</v>
      </c>
      <c r="S5" s="138" t="s">
        <v>24</v>
      </c>
    </row>
    <row r="6" spans="1:24">
      <c r="A6" s="120" t="s">
        <v>25</v>
      </c>
      <c r="B6" s="120" t="s">
        <v>699</v>
      </c>
      <c r="C6" s="125">
        <v>4097860.3640767918</v>
      </c>
      <c r="D6" s="121">
        <f t="shared" ref="D6:G24" si="0">$C6*C$2</f>
        <v>845224.67869447905</v>
      </c>
      <c r="E6" s="121">
        <f t="shared" si="0"/>
        <v>1027599.9541977168</v>
      </c>
      <c r="F6" s="121">
        <f t="shared" si="0"/>
        <v>1093091.9585363921</v>
      </c>
      <c r="G6" s="121">
        <f t="shared" si="0"/>
        <v>1131943.7726482039</v>
      </c>
      <c r="H6" s="121">
        <f t="shared" ref="H6:H24" si="1">$D6*$G$2</f>
        <v>211306.16967361976</v>
      </c>
      <c r="I6" s="121">
        <f t="shared" ref="I6:I24" si="2">D6*$H$2</f>
        <v>253567.40360834371</v>
      </c>
      <c r="J6" s="121">
        <f t="shared" ref="J6:J24" si="3">D6*$I$2</f>
        <v>380351.10541251558</v>
      </c>
      <c r="K6" s="121">
        <f t="shared" ref="K6:K24" si="4">$E6*$G$2</f>
        <v>256899.9885494292</v>
      </c>
      <c r="L6" s="121">
        <f t="shared" ref="L6:L24" si="5">$E6*$H$2</f>
        <v>308279.98625931505</v>
      </c>
      <c r="M6" s="121">
        <f t="shared" ref="M6:M24" si="6">$E6*$I$2</f>
        <v>462419.97938897257</v>
      </c>
      <c r="N6" s="121">
        <f t="shared" ref="N6:N24" si="7">$F6*$G$2</f>
        <v>273272.98963409802</v>
      </c>
      <c r="O6" s="121">
        <f t="shared" ref="O6:O24" si="8">$F6*$H$2</f>
        <v>327927.5875609176</v>
      </c>
      <c r="P6" s="121">
        <f t="shared" ref="P6:P24" si="9">$F6*$I$2</f>
        <v>491891.38134137646</v>
      </c>
      <c r="Q6" s="121">
        <f t="shared" ref="Q6:Q24" si="10">$G6*$G$2</f>
        <v>282985.94316205097</v>
      </c>
      <c r="R6" s="121">
        <f t="shared" ref="R6:R24" si="11">$G6*$H$2</f>
        <v>339583.13179446117</v>
      </c>
      <c r="S6" s="121">
        <f t="shared" ref="S6:S24" si="12">$G6*$I$2</f>
        <v>509374.69769169175</v>
      </c>
    </row>
    <row r="7" spans="1:24">
      <c r="A7" s="120" t="s">
        <v>27</v>
      </c>
      <c r="B7" s="120" t="s">
        <v>28</v>
      </c>
      <c r="C7" s="125">
        <v>4097860.3640767918</v>
      </c>
      <c r="D7" s="121">
        <f t="shared" si="0"/>
        <v>845224.67869447905</v>
      </c>
      <c r="E7" s="121">
        <f t="shared" si="0"/>
        <v>1027599.9541977168</v>
      </c>
      <c r="F7" s="121">
        <f t="shared" si="0"/>
        <v>1093091.9585363921</v>
      </c>
      <c r="G7" s="121">
        <f t="shared" si="0"/>
        <v>1131943.7726482039</v>
      </c>
      <c r="H7" s="121">
        <f t="shared" si="1"/>
        <v>211306.16967361976</v>
      </c>
      <c r="I7" s="121">
        <f t="shared" si="2"/>
        <v>253567.40360834371</v>
      </c>
      <c r="J7" s="121">
        <f t="shared" si="3"/>
        <v>380351.10541251558</v>
      </c>
      <c r="K7" s="121">
        <f t="shared" si="4"/>
        <v>256899.9885494292</v>
      </c>
      <c r="L7" s="121">
        <f t="shared" si="5"/>
        <v>308279.98625931505</v>
      </c>
      <c r="M7" s="121">
        <f t="shared" si="6"/>
        <v>462419.97938897257</v>
      </c>
      <c r="N7" s="121">
        <f t="shared" si="7"/>
        <v>273272.98963409802</v>
      </c>
      <c r="O7" s="121">
        <f t="shared" si="8"/>
        <v>327927.5875609176</v>
      </c>
      <c r="P7" s="121">
        <f t="shared" si="9"/>
        <v>491891.38134137646</v>
      </c>
      <c r="Q7" s="121">
        <f t="shared" si="10"/>
        <v>282985.94316205097</v>
      </c>
      <c r="R7" s="121">
        <f t="shared" si="11"/>
        <v>339583.13179446117</v>
      </c>
      <c r="S7" s="121">
        <f t="shared" si="12"/>
        <v>509374.69769169175</v>
      </c>
    </row>
    <row r="8" spans="1:24">
      <c r="A8" s="120" t="s">
        <v>29</v>
      </c>
      <c r="B8" s="120" t="s">
        <v>30</v>
      </c>
      <c r="C8" s="125">
        <v>4097860.3640767918</v>
      </c>
      <c r="D8" s="121">
        <f t="shared" si="0"/>
        <v>845224.67869447905</v>
      </c>
      <c r="E8" s="121">
        <f t="shared" si="0"/>
        <v>1027599.9541977168</v>
      </c>
      <c r="F8" s="121">
        <f t="shared" si="0"/>
        <v>1093091.9585363921</v>
      </c>
      <c r="G8" s="121">
        <f t="shared" si="0"/>
        <v>1131943.7726482039</v>
      </c>
      <c r="H8" s="121">
        <f t="shared" si="1"/>
        <v>211306.16967361976</v>
      </c>
      <c r="I8" s="121">
        <f t="shared" si="2"/>
        <v>253567.40360834371</v>
      </c>
      <c r="J8" s="121">
        <f t="shared" si="3"/>
        <v>380351.10541251558</v>
      </c>
      <c r="K8" s="121">
        <f t="shared" si="4"/>
        <v>256899.9885494292</v>
      </c>
      <c r="L8" s="121">
        <f t="shared" si="5"/>
        <v>308279.98625931505</v>
      </c>
      <c r="M8" s="121">
        <f t="shared" si="6"/>
        <v>462419.97938897257</v>
      </c>
      <c r="N8" s="121">
        <f t="shared" si="7"/>
        <v>273272.98963409802</v>
      </c>
      <c r="O8" s="121">
        <f t="shared" si="8"/>
        <v>327927.5875609176</v>
      </c>
      <c r="P8" s="121">
        <f t="shared" si="9"/>
        <v>491891.38134137646</v>
      </c>
      <c r="Q8" s="121">
        <f t="shared" si="10"/>
        <v>282985.94316205097</v>
      </c>
      <c r="R8" s="121">
        <f t="shared" si="11"/>
        <v>339583.13179446117</v>
      </c>
      <c r="S8" s="121">
        <f t="shared" si="12"/>
        <v>509374.69769169175</v>
      </c>
    </row>
    <row r="9" spans="1:24">
      <c r="A9" s="120" t="s">
        <v>31</v>
      </c>
      <c r="B9" s="120" t="s">
        <v>32</v>
      </c>
      <c r="C9" s="125">
        <v>4097860.3640767918</v>
      </c>
      <c r="D9" s="121">
        <f t="shared" si="0"/>
        <v>845224.67869447905</v>
      </c>
      <c r="E9" s="121">
        <f t="shared" si="0"/>
        <v>1027599.9541977168</v>
      </c>
      <c r="F9" s="121">
        <f t="shared" si="0"/>
        <v>1093091.9585363921</v>
      </c>
      <c r="G9" s="121">
        <f t="shared" si="0"/>
        <v>1131943.7726482039</v>
      </c>
      <c r="H9" s="121">
        <f t="shared" si="1"/>
        <v>211306.16967361976</v>
      </c>
      <c r="I9" s="121">
        <f t="shared" si="2"/>
        <v>253567.40360834371</v>
      </c>
      <c r="J9" s="121">
        <f t="shared" si="3"/>
        <v>380351.10541251558</v>
      </c>
      <c r="K9" s="121">
        <f t="shared" si="4"/>
        <v>256899.9885494292</v>
      </c>
      <c r="L9" s="121">
        <f t="shared" si="5"/>
        <v>308279.98625931505</v>
      </c>
      <c r="M9" s="121">
        <f t="shared" si="6"/>
        <v>462419.97938897257</v>
      </c>
      <c r="N9" s="121">
        <f t="shared" si="7"/>
        <v>273272.98963409802</v>
      </c>
      <c r="O9" s="121">
        <f t="shared" si="8"/>
        <v>327927.5875609176</v>
      </c>
      <c r="P9" s="121">
        <f t="shared" si="9"/>
        <v>491891.38134137646</v>
      </c>
      <c r="Q9" s="121">
        <f t="shared" si="10"/>
        <v>282985.94316205097</v>
      </c>
      <c r="R9" s="121">
        <f t="shared" si="11"/>
        <v>339583.13179446117</v>
      </c>
      <c r="S9" s="121">
        <f t="shared" si="12"/>
        <v>509374.69769169175</v>
      </c>
    </row>
    <row r="10" spans="1:24">
      <c r="A10" s="120" t="s">
        <v>33</v>
      </c>
      <c r="B10" s="120" t="s">
        <v>34</v>
      </c>
      <c r="C10" s="125">
        <v>4097860.3640767899</v>
      </c>
      <c r="D10" s="121">
        <f t="shared" si="0"/>
        <v>845224.6786944787</v>
      </c>
      <c r="E10" s="121">
        <f t="shared" si="0"/>
        <v>1027599.9541977163</v>
      </c>
      <c r="F10" s="121">
        <f t="shared" si="0"/>
        <v>1093091.9585363916</v>
      </c>
      <c r="G10" s="121">
        <f t="shared" si="0"/>
        <v>1131943.7726482034</v>
      </c>
      <c r="H10" s="121">
        <f t="shared" si="1"/>
        <v>211306.16967361968</v>
      </c>
      <c r="I10" s="121">
        <f t="shared" si="2"/>
        <v>253567.40360834359</v>
      </c>
      <c r="J10" s="121">
        <f t="shared" si="3"/>
        <v>380351.1054125154</v>
      </c>
      <c r="K10" s="121">
        <f t="shared" si="4"/>
        <v>256899.98854942908</v>
      </c>
      <c r="L10" s="121">
        <f t="shared" si="5"/>
        <v>308279.98625931487</v>
      </c>
      <c r="M10" s="121">
        <f t="shared" si="6"/>
        <v>462419.97938897234</v>
      </c>
      <c r="N10" s="121">
        <f t="shared" si="7"/>
        <v>273272.9896340979</v>
      </c>
      <c r="O10" s="121">
        <f t="shared" si="8"/>
        <v>327927.58756091748</v>
      </c>
      <c r="P10" s="121">
        <f t="shared" si="9"/>
        <v>491891.38134137623</v>
      </c>
      <c r="Q10" s="121">
        <f t="shared" si="10"/>
        <v>282985.94316205085</v>
      </c>
      <c r="R10" s="121">
        <f t="shared" si="11"/>
        <v>339583.13179446099</v>
      </c>
      <c r="S10" s="121">
        <f t="shared" si="12"/>
        <v>509374.69769169157</v>
      </c>
    </row>
    <row r="11" spans="1:24">
      <c r="A11" s="120" t="s">
        <v>35</v>
      </c>
      <c r="B11" s="120" t="s">
        <v>36</v>
      </c>
      <c r="C11" s="125">
        <v>12494671.76749113</v>
      </c>
      <c r="D11" s="121">
        <f t="shared" si="0"/>
        <v>2577150.9987627203</v>
      </c>
      <c r="E11" s="121">
        <f t="shared" si="0"/>
        <v>3133226.3657749132</v>
      </c>
      <c r="F11" s="121">
        <f t="shared" si="0"/>
        <v>3332916.2099629566</v>
      </c>
      <c r="G11" s="121">
        <f t="shared" si="0"/>
        <v>3451378.1929905396</v>
      </c>
      <c r="H11" s="121">
        <f t="shared" si="1"/>
        <v>644287.74969068007</v>
      </c>
      <c r="I11" s="121">
        <f t="shared" si="2"/>
        <v>773145.29962881608</v>
      </c>
      <c r="J11" s="121">
        <f t="shared" si="3"/>
        <v>1159717.9494432241</v>
      </c>
      <c r="K11" s="121">
        <f t="shared" si="4"/>
        <v>783306.59144372831</v>
      </c>
      <c r="L11" s="121">
        <f t="shared" si="5"/>
        <v>939967.9097324739</v>
      </c>
      <c r="M11" s="121">
        <f t="shared" si="6"/>
        <v>1409951.864598711</v>
      </c>
      <c r="N11" s="121">
        <f t="shared" si="7"/>
        <v>833229.05249073915</v>
      </c>
      <c r="O11" s="121">
        <f t="shared" si="8"/>
        <v>999874.86298888689</v>
      </c>
      <c r="P11" s="121">
        <f t="shared" si="9"/>
        <v>1499812.2944833306</v>
      </c>
      <c r="Q11" s="121">
        <f t="shared" si="10"/>
        <v>862844.5482476349</v>
      </c>
      <c r="R11" s="121">
        <f t="shared" si="11"/>
        <v>1035413.4578971618</v>
      </c>
      <c r="S11" s="121">
        <f t="shared" si="12"/>
        <v>1553120.1868457429</v>
      </c>
    </row>
    <row r="12" spans="1:24">
      <c r="A12" s="120" t="s">
        <v>37</v>
      </c>
      <c r="B12" s="120" t="s">
        <v>38</v>
      </c>
      <c r="C12" s="125">
        <v>12494671.76749113</v>
      </c>
      <c r="D12" s="121">
        <f t="shared" si="0"/>
        <v>2577150.9987627203</v>
      </c>
      <c r="E12" s="121">
        <f t="shared" si="0"/>
        <v>3133226.3657749132</v>
      </c>
      <c r="F12" s="121">
        <f t="shared" si="0"/>
        <v>3332916.2099629566</v>
      </c>
      <c r="G12" s="121">
        <f t="shared" si="0"/>
        <v>3451378.1929905396</v>
      </c>
      <c r="H12" s="121">
        <f t="shared" si="1"/>
        <v>644287.74969068007</v>
      </c>
      <c r="I12" s="121">
        <f t="shared" si="2"/>
        <v>773145.29962881608</v>
      </c>
      <c r="J12" s="121">
        <f t="shared" si="3"/>
        <v>1159717.9494432241</v>
      </c>
      <c r="K12" s="121">
        <f t="shared" si="4"/>
        <v>783306.59144372831</v>
      </c>
      <c r="L12" s="121">
        <f t="shared" si="5"/>
        <v>939967.9097324739</v>
      </c>
      <c r="M12" s="121">
        <f t="shared" si="6"/>
        <v>1409951.864598711</v>
      </c>
      <c r="N12" s="121">
        <f t="shared" si="7"/>
        <v>833229.05249073915</v>
      </c>
      <c r="O12" s="121">
        <f t="shared" si="8"/>
        <v>999874.86298888689</v>
      </c>
      <c r="P12" s="121">
        <f t="shared" si="9"/>
        <v>1499812.2944833306</v>
      </c>
      <c r="Q12" s="121">
        <f t="shared" si="10"/>
        <v>862844.5482476349</v>
      </c>
      <c r="R12" s="121">
        <f t="shared" si="11"/>
        <v>1035413.4578971618</v>
      </c>
      <c r="S12" s="121">
        <f t="shared" si="12"/>
        <v>1553120.1868457429</v>
      </c>
    </row>
    <row r="13" spans="1:24">
      <c r="A13" s="120" t="s">
        <v>39</v>
      </c>
      <c r="B13" s="120" t="s">
        <v>49</v>
      </c>
      <c r="C13" s="125">
        <v>12494671.76749113</v>
      </c>
      <c r="D13" s="121">
        <f t="shared" si="0"/>
        <v>2577150.9987627203</v>
      </c>
      <c r="E13" s="121">
        <f t="shared" si="0"/>
        <v>3133226.3657749132</v>
      </c>
      <c r="F13" s="121">
        <f t="shared" si="0"/>
        <v>3332916.2099629566</v>
      </c>
      <c r="G13" s="121">
        <f t="shared" si="0"/>
        <v>3451378.1929905396</v>
      </c>
      <c r="H13" s="121">
        <f t="shared" si="1"/>
        <v>644287.74969068007</v>
      </c>
      <c r="I13" s="121">
        <f t="shared" si="2"/>
        <v>773145.29962881608</v>
      </c>
      <c r="J13" s="121">
        <f t="shared" si="3"/>
        <v>1159717.9494432241</v>
      </c>
      <c r="K13" s="121">
        <f t="shared" si="4"/>
        <v>783306.59144372831</v>
      </c>
      <c r="L13" s="121">
        <f t="shared" si="5"/>
        <v>939967.9097324739</v>
      </c>
      <c r="M13" s="121">
        <f t="shared" si="6"/>
        <v>1409951.864598711</v>
      </c>
      <c r="N13" s="121">
        <f t="shared" si="7"/>
        <v>833229.05249073915</v>
      </c>
      <c r="O13" s="121">
        <f t="shared" si="8"/>
        <v>999874.86298888689</v>
      </c>
      <c r="P13" s="121">
        <f t="shared" si="9"/>
        <v>1499812.2944833306</v>
      </c>
      <c r="Q13" s="121">
        <f t="shared" si="10"/>
        <v>862844.5482476349</v>
      </c>
      <c r="R13" s="121">
        <f t="shared" si="11"/>
        <v>1035413.4578971618</v>
      </c>
      <c r="S13" s="121">
        <f t="shared" si="12"/>
        <v>1553120.1868457429</v>
      </c>
    </row>
    <row r="14" spans="1:24">
      <c r="A14" s="120" t="s">
        <v>40</v>
      </c>
      <c r="B14" s="120" t="s">
        <v>41</v>
      </c>
      <c r="C14" s="125">
        <v>12494671.76749113</v>
      </c>
      <c r="D14" s="121">
        <f t="shared" si="0"/>
        <v>2577150.9987627203</v>
      </c>
      <c r="E14" s="121">
        <f t="shared" si="0"/>
        <v>3133226.3657749132</v>
      </c>
      <c r="F14" s="121">
        <f t="shared" si="0"/>
        <v>3332916.2099629566</v>
      </c>
      <c r="G14" s="121">
        <f t="shared" si="0"/>
        <v>3451378.1929905396</v>
      </c>
      <c r="H14" s="121">
        <f t="shared" si="1"/>
        <v>644287.74969068007</v>
      </c>
      <c r="I14" s="121">
        <f t="shared" si="2"/>
        <v>773145.29962881608</v>
      </c>
      <c r="J14" s="121">
        <f t="shared" si="3"/>
        <v>1159717.9494432241</v>
      </c>
      <c r="K14" s="121">
        <f t="shared" si="4"/>
        <v>783306.59144372831</v>
      </c>
      <c r="L14" s="121">
        <f t="shared" si="5"/>
        <v>939967.9097324739</v>
      </c>
      <c r="M14" s="121">
        <f t="shared" si="6"/>
        <v>1409951.864598711</v>
      </c>
      <c r="N14" s="121">
        <f t="shared" si="7"/>
        <v>833229.05249073915</v>
      </c>
      <c r="O14" s="121">
        <f t="shared" si="8"/>
        <v>999874.86298888689</v>
      </c>
      <c r="P14" s="121">
        <f t="shared" si="9"/>
        <v>1499812.2944833306</v>
      </c>
      <c r="Q14" s="121">
        <f t="shared" si="10"/>
        <v>862844.5482476349</v>
      </c>
      <c r="R14" s="121">
        <f t="shared" si="11"/>
        <v>1035413.4578971618</v>
      </c>
      <c r="S14" s="121">
        <f t="shared" si="12"/>
        <v>1553120.1868457429</v>
      </c>
    </row>
    <row r="15" spans="1:24">
      <c r="A15" s="120" t="s">
        <v>42</v>
      </c>
      <c r="B15" s="120" t="s">
        <v>43</v>
      </c>
      <c r="C15" s="125">
        <v>7436460.9461307479</v>
      </c>
      <c r="D15" s="121">
        <f t="shared" si="0"/>
        <v>1533844.4347489281</v>
      </c>
      <c r="E15" s="121">
        <f t="shared" si="0"/>
        <v>1864804.1291564771</v>
      </c>
      <c r="F15" s="121">
        <f t="shared" si="0"/>
        <v>1983653.6479975388</v>
      </c>
      <c r="G15" s="121">
        <f t="shared" si="0"/>
        <v>2054158.734227804</v>
      </c>
      <c r="H15" s="121">
        <f t="shared" si="1"/>
        <v>383461.10868723202</v>
      </c>
      <c r="I15" s="121">
        <f t="shared" si="2"/>
        <v>460153.3304246784</v>
      </c>
      <c r="J15" s="121">
        <f t="shared" si="3"/>
        <v>690229.99563701765</v>
      </c>
      <c r="K15" s="121">
        <f t="shared" si="4"/>
        <v>466201.03228911926</v>
      </c>
      <c r="L15" s="121">
        <f t="shared" si="5"/>
        <v>559441.23874694307</v>
      </c>
      <c r="M15" s="121">
        <f t="shared" si="6"/>
        <v>839161.85812041466</v>
      </c>
      <c r="N15" s="121">
        <f t="shared" si="7"/>
        <v>495913.4119993847</v>
      </c>
      <c r="O15" s="121">
        <f t="shared" si="8"/>
        <v>595096.09439926164</v>
      </c>
      <c r="P15" s="121">
        <f t="shared" si="9"/>
        <v>892644.14159889251</v>
      </c>
      <c r="Q15" s="121">
        <f t="shared" si="10"/>
        <v>513539.683556951</v>
      </c>
      <c r="R15" s="121">
        <f t="shared" si="11"/>
        <v>616247.62026834115</v>
      </c>
      <c r="S15" s="121">
        <f t="shared" si="12"/>
        <v>924371.43040251185</v>
      </c>
    </row>
    <row r="16" spans="1:24">
      <c r="A16" s="120" t="s">
        <v>44</v>
      </c>
      <c r="B16" s="120" t="s">
        <v>45</v>
      </c>
      <c r="C16" s="125">
        <v>6374109.3823977839</v>
      </c>
      <c r="D16" s="121">
        <f t="shared" si="0"/>
        <v>1314723.8012133669</v>
      </c>
      <c r="E16" s="121">
        <f t="shared" si="0"/>
        <v>1598403.5392769803</v>
      </c>
      <c r="F16" s="121">
        <f t="shared" si="0"/>
        <v>1700274.5554264619</v>
      </c>
      <c r="G16" s="121">
        <f t="shared" si="0"/>
        <v>1760707.4864809748</v>
      </c>
      <c r="H16" s="121">
        <f t="shared" si="1"/>
        <v>328680.95030334173</v>
      </c>
      <c r="I16" s="121">
        <f t="shared" si="2"/>
        <v>394417.14036401006</v>
      </c>
      <c r="J16" s="121">
        <f t="shared" si="3"/>
        <v>591625.71054601518</v>
      </c>
      <c r="K16" s="121">
        <f t="shared" si="4"/>
        <v>399600.88481924508</v>
      </c>
      <c r="L16" s="121">
        <f t="shared" si="5"/>
        <v>479521.06178309408</v>
      </c>
      <c r="M16" s="121">
        <f t="shared" si="6"/>
        <v>719281.59267464117</v>
      </c>
      <c r="N16" s="121">
        <f t="shared" si="7"/>
        <v>425068.63885661546</v>
      </c>
      <c r="O16" s="121">
        <f t="shared" si="8"/>
        <v>510082.36662793852</v>
      </c>
      <c r="P16" s="121">
        <f t="shared" si="9"/>
        <v>765123.54994190787</v>
      </c>
      <c r="Q16" s="121">
        <f t="shared" si="10"/>
        <v>440176.87162024371</v>
      </c>
      <c r="R16" s="121">
        <f t="shared" si="11"/>
        <v>528212.2459442924</v>
      </c>
      <c r="S16" s="121">
        <f t="shared" si="12"/>
        <v>792318.36891643866</v>
      </c>
    </row>
    <row r="17" spans="1:19">
      <c r="A17" s="120" t="s">
        <v>46</v>
      </c>
      <c r="B17" s="120" t="s">
        <v>47</v>
      </c>
      <c r="C17" s="125">
        <v>7436460.9461307479</v>
      </c>
      <c r="D17" s="121">
        <f t="shared" si="0"/>
        <v>1533844.4347489281</v>
      </c>
      <c r="E17" s="121">
        <f t="shared" si="0"/>
        <v>1864804.1291564771</v>
      </c>
      <c r="F17" s="121">
        <f t="shared" si="0"/>
        <v>1983653.6479975388</v>
      </c>
      <c r="G17" s="121">
        <f t="shared" si="0"/>
        <v>2054158.734227804</v>
      </c>
      <c r="H17" s="121">
        <f t="shared" si="1"/>
        <v>383461.10868723202</v>
      </c>
      <c r="I17" s="121">
        <f t="shared" si="2"/>
        <v>460153.3304246784</v>
      </c>
      <c r="J17" s="121">
        <f t="shared" si="3"/>
        <v>690229.99563701765</v>
      </c>
      <c r="K17" s="121">
        <f t="shared" si="4"/>
        <v>466201.03228911926</v>
      </c>
      <c r="L17" s="121">
        <f t="shared" si="5"/>
        <v>559441.23874694307</v>
      </c>
      <c r="M17" s="121">
        <f t="shared" si="6"/>
        <v>839161.85812041466</v>
      </c>
      <c r="N17" s="121">
        <f t="shared" si="7"/>
        <v>495913.4119993847</v>
      </c>
      <c r="O17" s="121">
        <f t="shared" si="8"/>
        <v>595096.09439926164</v>
      </c>
      <c r="P17" s="121">
        <f t="shared" si="9"/>
        <v>892644.14159889251</v>
      </c>
      <c r="Q17" s="121">
        <f t="shared" si="10"/>
        <v>513539.683556951</v>
      </c>
      <c r="R17" s="121">
        <f t="shared" si="11"/>
        <v>616247.62026834115</v>
      </c>
      <c r="S17" s="121">
        <f t="shared" si="12"/>
        <v>924371.43040251185</v>
      </c>
    </row>
    <row r="18" spans="1:19">
      <c r="A18" s="120" t="s">
        <v>48</v>
      </c>
      <c r="B18" s="120" t="s">
        <v>137</v>
      </c>
      <c r="C18" s="125">
        <v>7436460.9461307479</v>
      </c>
      <c r="D18" s="121">
        <f t="shared" si="0"/>
        <v>1533844.4347489281</v>
      </c>
      <c r="E18" s="121">
        <f t="shared" si="0"/>
        <v>1864804.1291564771</v>
      </c>
      <c r="F18" s="121">
        <f t="shared" si="0"/>
        <v>1983653.6479975388</v>
      </c>
      <c r="G18" s="121">
        <f t="shared" si="0"/>
        <v>2054158.734227804</v>
      </c>
      <c r="H18" s="121">
        <f t="shared" si="1"/>
        <v>383461.10868723202</v>
      </c>
      <c r="I18" s="121">
        <f t="shared" si="2"/>
        <v>460153.3304246784</v>
      </c>
      <c r="J18" s="121">
        <f t="shared" si="3"/>
        <v>690229.99563701765</v>
      </c>
      <c r="K18" s="121">
        <f t="shared" si="4"/>
        <v>466201.03228911926</v>
      </c>
      <c r="L18" s="121">
        <f t="shared" si="5"/>
        <v>559441.23874694307</v>
      </c>
      <c r="M18" s="121">
        <f t="shared" si="6"/>
        <v>839161.85812041466</v>
      </c>
      <c r="N18" s="121">
        <f t="shared" si="7"/>
        <v>495913.4119993847</v>
      </c>
      <c r="O18" s="121">
        <f t="shared" si="8"/>
        <v>595096.09439926164</v>
      </c>
      <c r="P18" s="121">
        <f t="shared" si="9"/>
        <v>892644.14159889251</v>
      </c>
      <c r="Q18" s="121">
        <f t="shared" si="10"/>
        <v>513539.683556951</v>
      </c>
      <c r="R18" s="121">
        <f t="shared" si="11"/>
        <v>616247.62026834115</v>
      </c>
      <c r="S18" s="121">
        <f t="shared" si="12"/>
        <v>924371.43040251185</v>
      </c>
    </row>
    <row r="19" spans="1:19">
      <c r="A19" s="120" t="s">
        <v>50</v>
      </c>
      <c r="B19" s="120" t="s">
        <v>26</v>
      </c>
      <c r="C19" s="125">
        <v>7436460.9461307479</v>
      </c>
      <c r="D19" s="121">
        <f t="shared" si="0"/>
        <v>1533844.4347489281</v>
      </c>
      <c r="E19" s="121">
        <f t="shared" si="0"/>
        <v>1864804.1291564771</v>
      </c>
      <c r="F19" s="121">
        <f t="shared" si="0"/>
        <v>1983653.6479975388</v>
      </c>
      <c r="G19" s="121">
        <f t="shared" si="0"/>
        <v>2054158.734227804</v>
      </c>
      <c r="H19" s="121">
        <f t="shared" si="1"/>
        <v>383461.10868723202</v>
      </c>
      <c r="I19" s="121">
        <f t="shared" si="2"/>
        <v>460153.3304246784</v>
      </c>
      <c r="J19" s="121">
        <f t="shared" si="3"/>
        <v>690229.99563701765</v>
      </c>
      <c r="K19" s="121">
        <f t="shared" si="4"/>
        <v>466201.03228911926</v>
      </c>
      <c r="L19" s="121">
        <f t="shared" si="5"/>
        <v>559441.23874694307</v>
      </c>
      <c r="M19" s="121">
        <f t="shared" si="6"/>
        <v>839161.85812041466</v>
      </c>
      <c r="N19" s="121">
        <f t="shared" si="7"/>
        <v>495913.4119993847</v>
      </c>
      <c r="O19" s="121">
        <f t="shared" si="8"/>
        <v>595096.09439926164</v>
      </c>
      <c r="P19" s="121">
        <f t="shared" si="9"/>
        <v>892644.14159889251</v>
      </c>
      <c r="Q19" s="121">
        <f t="shared" si="10"/>
        <v>513539.683556951</v>
      </c>
      <c r="R19" s="121">
        <f t="shared" si="11"/>
        <v>616247.62026834115</v>
      </c>
      <c r="S19" s="121">
        <f t="shared" si="12"/>
        <v>924371.43040251185</v>
      </c>
    </row>
    <row r="20" spans="1:19">
      <c r="A20" s="120" t="s">
        <v>51</v>
      </c>
      <c r="B20" s="120" t="s">
        <v>52</v>
      </c>
      <c r="C20" s="125">
        <v>7436460.9461307479</v>
      </c>
      <c r="D20" s="121">
        <f t="shared" si="0"/>
        <v>1533844.4347489281</v>
      </c>
      <c r="E20" s="121">
        <f t="shared" si="0"/>
        <v>1864804.1291564771</v>
      </c>
      <c r="F20" s="121">
        <f t="shared" si="0"/>
        <v>1983653.6479975388</v>
      </c>
      <c r="G20" s="121">
        <f t="shared" si="0"/>
        <v>2054158.734227804</v>
      </c>
      <c r="H20" s="121">
        <f t="shared" si="1"/>
        <v>383461.10868723202</v>
      </c>
      <c r="I20" s="121">
        <f t="shared" si="2"/>
        <v>460153.3304246784</v>
      </c>
      <c r="J20" s="121">
        <f t="shared" si="3"/>
        <v>690229.99563701765</v>
      </c>
      <c r="K20" s="121">
        <f t="shared" si="4"/>
        <v>466201.03228911926</v>
      </c>
      <c r="L20" s="121">
        <f t="shared" si="5"/>
        <v>559441.23874694307</v>
      </c>
      <c r="M20" s="121">
        <f t="shared" si="6"/>
        <v>839161.85812041466</v>
      </c>
      <c r="N20" s="121">
        <f t="shared" si="7"/>
        <v>495913.4119993847</v>
      </c>
      <c r="O20" s="121">
        <f t="shared" si="8"/>
        <v>595096.09439926164</v>
      </c>
      <c r="P20" s="121">
        <f t="shared" si="9"/>
        <v>892644.14159889251</v>
      </c>
      <c r="Q20" s="121">
        <f t="shared" si="10"/>
        <v>513539.683556951</v>
      </c>
      <c r="R20" s="121">
        <f t="shared" si="11"/>
        <v>616247.62026834115</v>
      </c>
      <c r="S20" s="121">
        <f t="shared" si="12"/>
        <v>924371.43040251185</v>
      </c>
    </row>
    <row r="21" spans="1:19" s="183" customFormat="1">
      <c r="A21" s="184" t="s">
        <v>53</v>
      </c>
      <c r="B21" s="184" t="s">
        <v>54</v>
      </c>
      <c r="C21" s="185">
        <f>SUM(C15:C20)</f>
        <v>43556414.113051519</v>
      </c>
      <c r="D21" s="186">
        <f t="shared" si="0"/>
        <v>8983945.9749580063</v>
      </c>
      <c r="E21" s="186">
        <f t="shared" si="0"/>
        <v>10922424.185059365</v>
      </c>
      <c r="F21" s="186">
        <f t="shared" si="0"/>
        <v>11618542.795414153</v>
      </c>
      <c r="G21" s="186">
        <f t="shared" si="0"/>
        <v>12031501.157619994</v>
      </c>
      <c r="H21" s="186">
        <f t="shared" si="1"/>
        <v>2245986.4937395016</v>
      </c>
      <c r="I21" s="186">
        <f t="shared" si="2"/>
        <v>2695183.792487402</v>
      </c>
      <c r="J21" s="186">
        <f t="shared" si="3"/>
        <v>4042775.6887311027</v>
      </c>
      <c r="K21" s="186">
        <f t="shared" si="4"/>
        <v>2730606.0462648412</v>
      </c>
      <c r="L21" s="186">
        <f t="shared" si="5"/>
        <v>3276727.2555178092</v>
      </c>
      <c r="M21" s="186">
        <f t="shared" si="6"/>
        <v>4915090.883276714</v>
      </c>
      <c r="N21" s="186">
        <f t="shared" si="7"/>
        <v>2904635.6988535384</v>
      </c>
      <c r="O21" s="186">
        <f t="shared" si="8"/>
        <v>3485562.838624246</v>
      </c>
      <c r="P21" s="186">
        <f t="shared" si="9"/>
        <v>5228344.2579363696</v>
      </c>
      <c r="Q21" s="186">
        <f t="shared" si="10"/>
        <v>3007875.2894049985</v>
      </c>
      <c r="R21" s="186">
        <f t="shared" si="11"/>
        <v>3609450.3472859981</v>
      </c>
      <c r="S21" s="186">
        <f t="shared" si="12"/>
        <v>5414175.5209289975</v>
      </c>
    </row>
    <row r="22" spans="1:19" s="183" customFormat="1">
      <c r="A22" s="184" t="s">
        <v>55</v>
      </c>
      <c r="B22" s="184" t="s">
        <v>56</v>
      </c>
      <c r="C22" s="185">
        <f>SUM(C11:C14)</f>
        <v>49978687.069964521</v>
      </c>
      <c r="D22" s="186">
        <f t="shared" si="0"/>
        <v>10308603.995050881</v>
      </c>
      <c r="E22" s="186">
        <f t="shared" si="0"/>
        <v>12532905.463099653</v>
      </c>
      <c r="F22" s="186">
        <f t="shared" si="0"/>
        <v>13331664.839851826</v>
      </c>
      <c r="G22" s="186">
        <f t="shared" si="0"/>
        <v>13805512.771962158</v>
      </c>
      <c r="H22" s="186">
        <f t="shared" si="1"/>
        <v>2577150.9987627203</v>
      </c>
      <c r="I22" s="186">
        <f t="shared" si="2"/>
        <v>3092581.1985152643</v>
      </c>
      <c r="J22" s="186">
        <f t="shared" si="3"/>
        <v>4638871.7977728965</v>
      </c>
      <c r="K22" s="186">
        <f t="shared" si="4"/>
        <v>3133226.3657749132</v>
      </c>
      <c r="L22" s="186">
        <f t="shared" si="5"/>
        <v>3759871.6389298956</v>
      </c>
      <c r="M22" s="186">
        <f t="shared" si="6"/>
        <v>5639807.4583948441</v>
      </c>
      <c r="N22" s="186">
        <f t="shared" si="7"/>
        <v>3332916.2099629566</v>
      </c>
      <c r="O22" s="186">
        <f t="shared" si="8"/>
        <v>3999499.4519555476</v>
      </c>
      <c r="P22" s="186">
        <f t="shared" si="9"/>
        <v>5999249.1779333223</v>
      </c>
      <c r="Q22" s="186">
        <f t="shared" si="10"/>
        <v>3451378.1929905396</v>
      </c>
      <c r="R22" s="186">
        <f t="shared" si="11"/>
        <v>4141653.8315886473</v>
      </c>
      <c r="S22" s="186">
        <f t="shared" si="12"/>
        <v>6212480.7473829715</v>
      </c>
    </row>
    <row r="23" spans="1:19" s="183" customFormat="1">
      <c r="A23" s="184" t="s">
        <v>57</v>
      </c>
      <c r="B23" s="184" t="s">
        <v>58</v>
      </c>
      <c r="C23" s="185">
        <f>SUM(C6:C10)</f>
        <v>20489301.820383959</v>
      </c>
      <c r="D23" s="186">
        <f t="shared" si="0"/>
        <v>4226123.3934723949</v>
      </c>
      <c r="E23" s="186">
        <f t="shared" si="0"/>
        <v>5137999.7709885836</v>
      </c>
      <c r="F23" s="186">
        <f t="shared" si="0"/>
        <v>5465459.7926819604</v>
      </c>
      <c r="G23" s="186">
        <f t="shared" si="0"/>
        <v>5659718.8632410197</v>
      </c>
      <c r="H23" s="186">
        <f t="shared" si="1"/>
        <v>1056530.8483680987</v>
      </c>
      <c r="I23" s="186">
        <f t="shared" si="2"/>
        <v>1267837.0180417185</v>
      </c>
      <c r="J23" s="186">
        <f t="shared" si="3"/>
        <v>1901755.5270625777</v>
      </c>
      <c r="K23" s="186">
        <f t="shared" si="4"/>
        <v>1284499.9427471459</v>
      </c>
      <c r="L23" s="186">
        <f t="shared" si="5"/>
        <v>1541399.9312965751</v>
      </c>
      <c r="M23" s="186">
        <f t="shared" si="6"/>
        <v>2312099.8969448628</v>
      </c>
      <c r="N23" s="186">
        <f t="shared" si="7"/>
        <v>1366364.9481704901</v>
      </c>
      <c r="O23" s="186">
        <f t="shared" si="8"/>
        <v>1639637.9378045881</v>
      </c>
      <c r="P23" s="186">
        <f t="shared" si="9"/>
        <v>2459456.9067068822</v>
      </c>
      <c r="Q23" s="186">
        <f t="shared" si="10"/>
        <v>1414929.7158102549</v>
      </c>
      <c r="R23" s="186">
        <f t="shared" si="11"/>
        <v>1697915.6589723059</v>
      </c>
      <c r="S23" s="186">
        <f t="shared" si="12"/>
        <v>2546873.4884584588</v>
      </c>
    </row>
    <row r="24" spans="1:19" s="183" customFormat="1">
      <c r="A24" s="187" t="s">
        <v>59</v>
      </c>
      <c r="B24" s="187" t="s">
        <v>60</v>
      </c>
      <c r="C24" s="188">
        <f>SUM(C21:C23)</f>
        <v>114024403.0034</v>
      </c>
      <c r="D24" s="189">
        <f t="shared" si="0"/>
        <v>23518673.363481283</v>
      </c>
      <c r="E24" s="189">
        <f t="shared" si="0"/>
        <v>28593329.419147603</v>
      </c>
      <c r="F24" s="189">
        <f t="shared" si="0"/>
        <v>30415667.427947942</v>
      </c>
      <c r="G24" s="189">
        <f t="shared" si="0"/>
        <v>31496732.792823173</v>
      </c>
      <c r="H24" s="189">
        <f t="shared" si="1"/>
        <v>5879668.3408703208</v>
      </c>
      <c r="I24" s="189">
        <f t="shared" si="2"/>
        <v>7055602.0090443846</v>
      </c>
      <c r="J24" s="189">
        <f t="shared" si="3"/>
        <v>10583403.013566578</v>
      </c>
      <c r="K24" s="189">
        <f t="shared" si="4"/>
        <v>7148332.3547869008</v>
      </c>
      <c r="L24" s="189">
        <f t="shared" si="5"/>
        <v>8577998.8257442806</v>
      </c>
      <c r="M24" s="189">
        <f t="shared" si="6"/>
        <v>12866998.238616422</v>
      </c>
      <c r="N24" s="189">
        <f t="shared" si="7"/>
        <v>7603916.8569869855</v>
      </c>
      <c r="O24" s="189">
        <f t="shared" si="8"/>
        <v>9124700.228384383</v>
      </c>
      <c r="P24" s="189">
        <f t="shared" si="9"/>
        <v>13687050.342576575</v>
      </c>
      <c r="Q24" s="189">
        <f t="shared" si="10"/>
        <v>7874183.1982057933</v>
      </c>
      <c r="R24" s="189">
        <f t="shared" si="11"/>
        <v>9449019.8378469516</v>
      </c>
      <c r="S24" s="189">
        <f t="shared" si="12"/>
        <v>14173529.756770428</v>
      </c>
    </row>
    <row r="30" spans="1:19">
      <c r="A30" t="s">
        <v>741</v>
      </c>
    </row>
    <row r="31" spans="1:19">
      <c r="A31" s="217" t="s">
        <v>10</v>
      </c>
      <c r="B31" s="218" t="s">
        <v>11</v>
      </c>
      <c r="C31" s="218" t="s">
        <v>12</v>
      </c>
      <c r="D31" s="218" t="s">
        <v>2</v>
      </c>
      <c r="E31" s="218" t="s">
        <v>3</v>
      </c>
      <c r="F31" s="218" t="s">
        <v>4</v>
      </c>
      <c r="G31" s="218" t="s">
        <v>5</v>
      </c>
      <c r="H31" s="219" t="s">
        <v>742</v>
      </c>
      <c r="I31" s="219" t="s">
        <v>743</v>
      </c>
      <c r="J31" s="219" t="s">
        <v>744</v>
      </c>
      <c r="K31" s="219" t="s">
        <v>745</v>
      </c>
      <c r="L31" s="219" t="s">
        <v>746</v>
      </c>
      <c r="M31" s="219" t="s">
        <v>747</v>
      </c>
      <c r="N31" s="219" t="s">
        <v>748</v>
      </c>
      <c r="O31" s="219" t="s">
        <v>749</v>
      </c>
      <c r="P31" s="219" t="s">
        <v>750</v>
      </c>
      <c r="Q31" s="219" t="s">
        <v>751</v>
      </c>
      <c r="R31" s="219" t="s">
        <v>752</v>
      </c>
      <c r="S31" s="219" t="s">
        <v>753</v>
      </c>
    </row>
    <row r="32" spans="1:19">
      <c r="A32" s="220" t="s">
        <v>59</v>
      </c>
      <c r="B32" s="220" t="s">
        <v>60</v>
      </c>
      <c r="C32" s="221">
        <v>106564862.62</v>
      </c>
      <c r="D32" s="221">
        <v>21980068.559999999</v>
      </c>
      <c r="E32" s="221">
        <v>26722737.77</v>
      </c>
      <c r="F32" s="221">
        <v>28425857.41</v>
      </c>
      <c r="G32" s="221">
        <v>29436198.870000001</v>
      </c>
      <c r="H32" s="221">
        <v>5495017.1399999997</v>
      </c>
      <c r="I32" s="221">
        <v>6594020.5700000003</v>
      </c>
      <c r="J32" s="221">
        <v>9891030.8499999996</v>
      </c>
      <c r="K32" s="221">
        <v>6680684.4400000004</v>
      </c>
      <c r="L32" s="221">
        <v>8016821.3300000001</v>
      </c>
      <c r="M32" s="221">
        <v>12025232</v>
      </c>
      <c r="N32" s="221">
        <v>7106464.3499999996</v>
      </c>
      <c r="O32" s="221">
        <v>8527757.2200000007</v>
      </c>
      <c r="P32" s="221">
        <v>12791635.83</v>
      </c>
      <c r="Q32" s="221">
        <v>7359049.7199999997</v>
      </c>
      <c r="R32" s="221">
        <v>8830859.6600000001</v>
      </c>
      <c r="S32" s="221">
        <v>13246289.49</v>
      </c>
    </row>
    <row r="33" spans="1:19">
      <c r="A33" s="220" t="s">
        <v>57</v>
      </c>
      <c r="B33" s="220" t="s">
        <v>58</v>
      </c>
      <c r="C33" s="221">
        <v>19148880.210000001</v>
      </c>
      <c r="D33" s="221">
        <v>3949648.03</v>
      </c>
      <c r="E33" s="221">
        <v>4801868.95</v>
      </c>
      <c r="F33" s="221">
        <v>5107906.3499999996</v>
      </c>
      <c r="G33" s="221">
        <v>5289456.88</v>
      </c>
      <c r="H33" s="221">
        <v>987412.01</v>
      </c>
      <c r="I33" s="221">
        <v>1184894.4099999999</v>
      </c>
      <c r="J33" s="221">
        <v>1777341.61</v>
      </c>
      <c r="K33" s="221">
        <v>1200467.24</v>
      </c>
      <c r="L33" s="221">
        <v>1440560.68</v>
      </c>
      <c r="M33" s="221">
        <v>2160841.0299999998</v>
      </c>
      <c r="N33" s="221">
        <v>1276976.5900000001</v>
      </c>
      <c r="O33" s="221">
        <v>1532371.9</v>
      </c>
      <c r="P33" s="221">
        <v>2298557.86</v>
      </c>
      <c r="Q33" s="221">
        <v>1322364.22</v>
      </c>
      <c r="R33" s="221">
        <v>1586837.06</v>
      </c>
      <c r="S33" s="221">
        <v>2380255.6</v>
      </c>
    </row>
    <row r="34" spans="1:19">
      <c r="A34" s="220" t="s">
        <v>53</v>
      </c>
      <c r="B34" s="220" t="s">
        <v>54</v>
      </c>
      <c r="C34" s="221">
        <v>40706929.079999998</v>
      </c>
      <c r="D34" s="221">
        <v>8396211.1899999995</v>
      </c>
      <c r="E34" s="221">
        <v>10207873.07</v>
      </c>
      <c r="F34" s="221">
        <v>10858451.210000001</v>
      </c>
      <c r="G34" s="221">
        <v>11244393.609999999</v>
      </c>
      <c r="H34" s="221">
        <v>2099052.7999999998</v>
      </c>
      <c r="I34" s="221">
        <v>2518863.36</v>
      </c>
      <c r="J34" s="221">
        <v>3778295.04</v>
      </c>
      <c r="K34" s="221">
        <v>2551968.27</v>
      </c>
      <c r="L34" s="221">
        <v>3062361.92</v>
      </c>
      <c r="M34" s="221">
        <v>4593542.88</v>
      </c>
      <c r="N34" s="221">
        <v>2714612.8</v>
      </c>
      <c r="O34" s="221">
        <v>3257535.36</v>
      </c>
      <c r="P34" s="221">
        <v>4886303.05</v>
      </c>
      <c r="Q34" s="221">
        <v>2811098.4</v>
      </c>
      <c r="R34" s="221">
        <v>3373318.08</v>
      </c>
      <c r="S34" s="221">
        <v>5059977.12</v>
      </c>
    </row>
    <row r="35" spans="1:19">
      <c r="A35" s="220" t="s">
        <v>55</v>
      </c>
      <c r="B35" s="220" t="s">
        <v>56</v>
      </c>
      <c r="C35" s="221">
        <v>46709053.340000004</v>
      </c>
      <c r="D35" s="221">
        <v>9634209.3399999999</v>
      </c>
      <c r="E35" s="221">
        <v>11712995.76</v>
      </c>
      <c r="F35" s="221">
        <v>12459499.85</v>
      </c>
      <c r="G35" s="221">
        <v>12902348.390000001</v>
      </c>
      <c r="H35" s="221">
        <v>2408552.34</v>
      </c>
      <c r="I35" s="221">
        <v>2890262.8</v>
      </c>
      <c r="J35" s="221">
        <v>4335394.2</v>
      </c>
      <c r="K35" s="221">
        <v>2928248.94</v>
      </c>
      <c r="L35" s="221">
        <v>3513898.73</v>
      </c>
      <c r="M35" s="221">
        <v>5270848.09</v>
      </c>
      <c r="N35" s="221">
        <v>3114874.96</v>
      </c>
      <c r="O35" s="221">
        <v>3737849.96</v>
      </c>
      <c r="P35" s="221">
        <v>5606774.9299999997</v>
      </c>
      <c r="Q35" s="221">
        <v>3225587.1</v>
      </c>
      <c r="R35" s="221">
        <v>3870704.52</v>
      </c>
      <c r="S35" s="221">
        <v>5806056.7699999996</v>
      </c>
    </row>
  </sheetData>
  <pageMargins left="0.7" right="0.7" top="0.75" bottom="0.75" header="0.3" footer="0.3"/>
  <pageSetup orientation="portrait" horizontalDpi="300" verticalDpi="0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6924-0278-403B-A99D-E6A741E79842}">
  <sheetPr codeName="Sheet3"/>
  <dimension ref="A1:S135"/>
  <sheetViews>
    <sheetView workbookViewId="0">
      <selection activeCell="F24" sqref="F24"/>
    </sheetView>
  </sheetViews>
  <sheetFormatPr baseColWidth="10" defaultColWidth="8.83203125" defaultRowHeight="15"/>
  <cols>
    <col min="1" max="1" width="32" customWidth="1"/>
    <col min="2" max="3" width="36.1640625" customWidth="1"/>
    <col min="4" max="4" width="36.83203125" customWidth="1"/>
    <col min="5" max="5" width="29" bestFit="1" customWidth="1"/>
    <col min="6" max="6" width="24.5" style="123" customWidth="1"/>
    <col min="7" max="7" width="29.83203125" style="123" hidden="1" customWidth="1"/>
    <col min="8" max="8" width="14.1640625" style="83" hidden="1" customWidth="1"/>
    <col min="9" max="9" width="15.83203125" style="126" customWidth="1"/>
    <col min="10" max="10" width="17.5" style="129" bestFit="1" customWidth="1"/>
    <col min="11" max="11" width="19.33203125" customWidth="1"/>
    <col min="12" max="12" width="12.6640625" bestFit="1" customWidth="1"/>
    <col min="13" max="13" width="13.6640625" bestFit="1" customWidth="1"/>
    <col min="14" max="15" width="12.5" bestFit="1" customWidth="1"/>
    <col min="17" max="17" width="14.1640625" bestFit="1" customWidth="1"/>
    <col min="18" max="19" width="14.5" bestFit="1" customWidth="1"/>
  </cols>
  <sheetData>
    <row r="1" spans="1:19" s="84" customFormat="1">
      <c r="A1" s="84" t="s">
        <v>61</v>
      </c>
      <c r="B1" s="84" t="s">
        <v>65</v>
      </c>
      <c r="C1" s="84" t="s">
        <v>66</v>
      </c>
      <c r="D1" s="84" t="s">
        <v>67</v>
      </c>
      <c r="E1" s="84" t="s">
        <v>68</v>
      </c>
      <c r="F1" s="122" t="s">
        <v>69</v>
      </c>
      <c r="G1" s="122" t="s">
        <v>70</v>
      </c>
      <c r="H1" s="85" t="s">
        <v>71</v>
      </c>
      <c r="I1" s="124" t="s">
        <v>72</v>
      </c>
      <c r="J1" s="128" t="s">
        <v>73</v>
      </c>
      <c r="K1" s="84" t="s">
        <v>74</v>
      </c>
    </row>
    <row r="2" spans="1:19" s="84" customFormat="1">
      <c r="A2" t="s">
        <v>58</v>
      </c>
      <c r="B2" t="s">
        <v>699</v>
      </c>
      <c r="C2" t="s">
        <v>75</v>
      </c>
      <c r="D2" t="s">
        <v>88</v>
      </c>
      <c r="E2" t="s">
        <v>93</v>
      </c>
      <c r="F2" s="123" t="s">
        <v>78</v>
      </c>
      <c r="G2" s="127" t="s">
        <v>78</v>
      </c>
      <c r="H2" s="85"/>
      <c r="I2" s="125">
        <v>4097860.3640767918</v>
      </c>
      <c r="J2" s="129">
        <f>I2*0.8474576</f>
        <v>3472762.9092756445</v>
      </c>
      <c r="K2" s="129">
        <f>J2/1000</f>
        <v>3472.7629092756442</v>
      </c>
    </row>
    <row r="3" spans="1:19" s="84" customFormat="1">
      <c r="A3" t="s">
        <v>58</v>
      </c>
      <c r="B3" t="s">
        <v>28</v>
      </c>
      <c r="C3" t="s">
        <v>75</v>
      </c>
      <c r="D3" t="s">
        <v>88</v>
      </c>
      <c r="E3" t="s">
        <v>91</v>
      </c>
      <c r="F3" s="123" t="s">
        <v>78</v>
      </c>
      <c r="G3" s="127" t="s">
        <v>78</v>
      </c>
      <c r="H3" s="85"/>
      <c r="I3" s="125">
        <v>4097860.3640767918</v>
      </c>
      <c r="J3" s="129">
        <f t="shared" ref="J3:J20" si="0">I3*0.8474576</f>
        <v>3472762.9092756445</v>
      </c>
      <c r="K3" s="129">
        <f t="shared" ref="K3:K65" si="1">J3/1000</f>
        <v>3472.7629092756442</v>
      </c>
    </row>
    <row r="4" spans="1:19" s="84" customFormat="1">
      <c r="A4" t="s">
        <v>58</v>
      </c>
      <c r="B4" t="s">
        <v>30</v>
      </c>
      <c r="C4" t="s">
        <v>75</v>
      </c>
      <c r="D4" t="s">
        <v>88</v>
      </c>
      <c r="E4" t="s">
        <v>90</v>
      </c>
      <c r="F4" s="123" t="s">
        <v>78</v>
      </c>
      <c r="G4" s="127" t="s">
        <v>78</v>
      </c>
      <c r="H4" s="85"/>
      <c r="I4" s="125">
        <v>4097860.3640767918</v>
      </c>
      <c r="J4" s="129">
        <f t="shared" si="0"/>
        <v>3472762.9092756445</v>
      </c>
      <c r="K4" s="129">
        <f t="shared" si="1"/>
        <v>3472.7629092756442</v>
      </c>
    </row>
    <row r="5" spans="1:19" s="84" customFormat="1">
      <c r="A5" t="s">
        <v>58</v>
      </c>
      <c r="B5" t="s">
        <v>32</v>
      </c>
      <c r="C5" t="s">
        <v>75</v>
      </c>
      <c r="D5" t="s">
        <v>88</v>
      </c>
      <c r="E5" t="s">
        <v>92</v>
      </c>
      <c r="F5" s="123" t="s">
        <v>78</v>
      </c>
      <c r="G5" s="127" t="s">
        <v>78</v>
      </c>
      <c r="H5" s="85"/>
      <c r="I5" s="125">
        <v>4097860.3640767918</v>
      </c>
      <c r="J5" s="129">
        <f t="shared" si="0"/>
        <v>3472762.9092756445</v>
      </c>
      <c r="K5" s="129">
        <f t="shared" si="1"/>
        <v>3472.7629092756442</v>
      </c>
    </row>
    <row r="6" spans="1:19" s="84" customFormat="1">
      <c r="A6" t="s">
        <v>58</v>
      </c>
      <c r="B6" t="s">
        <v>34</v>
      </c>
      <c r="C6" t="s">
        <v>75</v>
      </c>
      <c r="D6" t="s">
        <v>88</v>
      </c>
      <c r="E6" t="s">
        <v>89</v>
      </c>
      <c r="F6" s="123" t="s">
        <v>78</v>
      </c>
      <c r="G6" s="127" t="s">
        <v>78</v>
      </c>
      <c r="H6" s="85"/>
      <c r="I6" s="125">
        <v>4097860.3640767918</v>
      </c>
      <c r="J6" s="129">
        <f t="shared" si="0"/>
        <v>3472762.9092756445</v>
      </c>
      <c r="K6" s="129">
        <f t="shared" si="1"/>
        <v>3472.7629092756442</v>
      </c>
    </row>
    <row r="7" spans="1:19" s="84" customFormat="1">
      <c r="A7" t="s">
        <v>56</v>
      </c>
      <c r="B7" t="s">
        <v>36</v>
      </c>
      <c r="C7" t="s">
        <v>75</v>
      </c>
      <c r="D7" t="s">
        <v>83</v>
      </c>
      <c r="E7" t="s">
        <v>86</v>
      </c>
      <c r="F7" s="123" t="s">
        <v>78</v>
      </c>
      <c r="G7" s="127" t="s">
        <v>78</v>
      </c>
      <c r="H7" s="85"/>
      <c r="I7" s="125">
        <v>12494671.76749113</v>
      </c>
      <c r="J7" s="129">
        <f t="shared" si="0"/>
        <v>10588704.548865791</v>
      </c>
      <c r="K7" s="129">
        <f t="shared" si="1"/>
        <v>10588.704548865791</v>
      </c>
    </row>
    <row r="8" spans="1:19" s="84" customFormat="1">
      <c r="A8" t="s">
        <v>56</v>
      </c>
      <c r="B8" t="s">
        <v>38</v>
      </c>
      <c r="C8" t="s">
        <v>75</v>
      </c>
      <c r="D8" t="s">
        <v>83</v>
      </c>
      <c r="E8" t="s">
        <v>85</v>
      </c>
      <c r="F8" s="123" t="s">
        <v>78</v>
      </c>
      <c r="G8" s="127" t="s">
        <v>78</v>
      </c>
      <c r="H8" s="85"/>
      <c r="I8" s="125">
        <v>12494671.76749113</v>
      </c>
      <c r="J8" s="129">
        <f t="shared" si="0"/>
        <v>10588704.548865791</v>
      </c>
      <c r="K8" s="129">
        <f t="shared" si="1"/>
        <v>10588.704548865791</v>
      </c>
    </row>
    <row r="9" spans="1:19" s="84" customFormat="1">
      <c r="A9" t="s">
        <v>56</v>
      </c>
      <c r="B9" t="s">
        <v>49</v>
      </c>
      <c r="C9" t="s">
        <v>75</v>
      </c>
      <c r="D9" t="s">
        <v>83</v>
      </c>
      <c r="E9" t="s">
        <v>84</v>
      </c>
      <c r="F9" s="123" t="s">
        <v>78</v>
      </c>
      <c r="G9" s="127" t="s">
        <v>78</v>
      </c>
      <c r="H9" s="85"/>
      <c r="I9" s="125">
        <v>12494671.76749113</v>
      </c>
      <c r="J9" s="129">
        <f t="shared" si="0"/>
        <v>10588704.548865791</v>
      </c>
      <c r="K9" s="129">
        <f t="shared" si="1"/>
        <v>10588.704548865791</v>
      </c>
      <c r="Q9" s="139"/>
      <c r="R9" s="128"/>
      <c r="S9" s="128"/>
    </row>
    <row r="10" spans="1:19" s="84" customFormat="1">
      <c r="A10" t="s">
        <v>56</v>
      </c>
      <c r="B10" t="s">
        <v>41</v>
      </c>
      <c r="C10" t="s">
        <v>75</v>
      </c>
      <c r="D10" t="s">
        <v>83</v>
      </c>
      <c r="E10" t="s">
        <v>87</v>
      </c>
      <c r="F10" s="123" t="s">
        <v>78</v>
      </c>
      <c r="G10" s="127" t="s">
        <v>78</v>
      </c>
      <c r="H10" s="85"/>
      <c r="I10" s="125">
        <v>12494671.76749113</v>
      </c>
      <c r="J10" s="129">
        <f t="shared" si="0"/>
        <v>10588704.548865791</v>
      </c>
      <c r="K10" s="129">
        <f t="shared" si="1"/>
        <v>10588.704548865791</v>
      </c>
      <c r="Q10" s="139"/>
      <c r="R10" s="128"/>
      <c r="S10" s="128"/>
    </row>
    <row r="11" spans="1:19" s="84" customFormat="1">
      <c r="A11" t="s">
        <v>54</v>
      </c>
      <c r="B11" t="s">
        <v>43</v>
      </c>
      <c r="C11" t="s">
        <v>75</v>
      </c>
      <c r="D11" t="s">
        <v>76</v>
      </c>
      <c r="E11" t="s">
        <v>79</v>
      </c>
      <c r="F11" s="123" t="s">
        <v>78</v>
      </c>
      <c r="G11" s="127" t="s">
        <v>78</v>
      </c>
      <c r="H11" s="85"/>
      <c r="I11" s="125">
        <v>7436460.9461307479</v>
      </c>
      <c r="J11" s="129">
        <f t="shared" si="0"/>
        <v>6302085.3459016932</v>
      </c>
      <c r="K11" s="129">
        <f t="shared" si="1"/>
        <v>6302.0853459016935</v>
      </c>
      <c r="Q11" s="139"/>
      <c r="R11" s="128"/>
      <c r="S11" s="128"/>
    </row>
    <row r="12" spans="1:19" s="84" customFormat="1">
      <c r="A12" t="s">
        <v>54</v>
      </c>
      <c r="B12" t="s">
        <v>45</v>
      </c>
      <c r="C12" t="s">
        <v>75</v>
      </c>
      <c r="D12" t="s">
        <v>76</v>
      </c>
      <c r="E12" t="s">
        <v>77</v>
      </c>
      <c r="F12" s="123" t="s">
        <v>78</v>
      </c>
      <c r="G12" s="127" t="s">
        <v>78</v>
      </c>
      <c r="H12" s="85"/>
      <c r="I12" s="125">
        <v>6374109.3823977839</v>
      </c>
      <c r="J12" s="129">
        <f t="shared" si="0"/>
        <v>5401787.4393443083</v>
      </c>
      <c r="K12" s="129">
        <f t="shared" si="1"/>
        <v>5401.787439344308</v>
      </c>
      <c r="Q12" s="139"/>
      <c r="R12" s="128"/>
      <c r="S12" s="128"/>
    </row>
    <row r="13" spans="1:19" s="84" customFormat="1">
      <c r="A13" t="s">
        <v>54</v>
      </c>
      <c r="B13" t="s">
        <v>47</v>
      </c>
      <c r="C13" t="s">
        <v>75</v>
      </c>
      <c r="D13" t="s">
        <v>76</v>
      </c>
      <c r="E13" t="s">
        <v>82</v>
      </c>
      <c r="F13" s="123" t="s">
        <v>78</v>
      </c>
      <c r="G13" s="127" t="s">
        <v>78</v>
      </c>
      <c r="H13" s="85"/>
      <c r="I13" s="125">
        <v>7436460.9461307479</v>
      </c>
      <c r="J13" s="129">
        <f t="shared" si="0"/>
        <v>6302085.3459016932</v>
      </c>
      <c r="K13" s="129">
        <f t="shared" si="1"/>
        <v>6302.0853459016935</v>
      </c>
      <c r="Q13" s="139"/>
      <c r="R13" s="128"/>
      <c r="S13" s="128"/>
    </row>
    <row r="14" spans="1:19" s="84" customFormat="1">
      <c r="A14" t="s">
        <v>54</v>
      </c>
      <c r="B14" t="s">
        <v>137</v>
      </c>
      <c r="C14" t="s">
        <v>75</v>
      </c>
      <c r="D14" t="s">
        <v>76</v>
      </c>
      <c r="E14" t="s">
        <v>81</v>
      </c>
      <c r="F14" s="123" t="s">
        <v>78</v>
      </c>
      <c r="G14" s="127" t="s">
        <v>78</v>
      </c>
      <c r="H14" s="85"/>
      <c r="I14" s="125">
        <v>7436460.9461307479</v>
      </c>
      <c r="J14" s="129">
        <f t="shared" si="0"/>
        <v>6302085.3459016932</v>
      </c>
      <c r="K14" s="129">
        <f t="shared" si="1"/>
        <v>6302.0853459016935</v>
      </c>
      <c r="Q14" s="139"/>
      <c r="R14" s="128"/>
      <c r="S14" s="128"/>
    </row>
    <row r="15" spans="1:19" s="84" customFormat="1">
      <c r="A15" t="s">
        <v>54</v>
      </c>
      <c r="B15" t="s">
        <v>26</v>
      </c>
      <c r="C15" t="s">
        <v>75</v>
      </c>
      <c r="D15" t="s">
        <v>76</v>
      </c>
      <c r="E15" t="s">
        <v>153</v>
      </c>
      <c r="F15" s="123" t="s">
        <v>78</v>
      </c>
      <c r="G15" s="127" t="s">
        <v>78</v>
      </c>
      <c r="H15" s="85"/>
      <c r="I15" s="125">
        <v>7436460.9461307479</v>
      </c>
      <c r="J15" s="129">
        <f t="shared" si="0"/>
        <v>6302085.3459016932</v>
      </c>
      <c r="K15" s="129">
        <f t="shared" si="1"/>
        <v>6302.0853459016935</v>
      </c>
      <c r="Q15" s="139"/>
      <c r="R15" s="128"/>
      <c r="S15" s="128"/>
    </row>
    <row r="16" spans="1:19" s="84" customFormat="1">
      <c r="A16" t="s">
        <v>54</v>
      </c>
      <c r="B16" t="s">
        <v>52</v>
      </c>
      <c r="C16" t="s">
        <v>75</v>
      </c>
      <c r="D16" t="s">
        <v>76</v>
      </c>
      <c r="E16" t="s">
        <v>80</v>
      </c>
      <c r="F16" s="123" t="s">
        <v>78</v>
      </c>
      <c r="G16" s="127" t="s">
        <v>78</v>
      </c>
      <c r="H16" s="85"/>
      <c r="I16" s="125">
        <v>7436460.9461307479</v>
      </c>
      <c r="J16" s="129">
        <f t="shared" si="0"/>
        <v>6302085.3459016932</v>
      </c>
      <c r="K16" s="129">
        <f t="shared" si="1"/>
        <v>6302.0853459016935</v>
      </c>
      <c r="Q16" s="139"/>
      <c r="R16" s="128"/>
      <c r="S16" s="128"/>
    </row>
    <row r="17" spans="1:19" s="84" customFormat="1">
      <c r="A17" t="s">
        <v>60</v>
      </c>
      <c r="B17" t="s">
        <v>58</v>
      </c>
      <c r="C17" t="s">
        <v>75</v>
      </c>
      <c r="D17" t="s">
        <v>88</v>
      </c>
      <c r="E17"/>
      <c r="F17" s="123" t="s">
        <v>78</v>
      </c>
      <c r="G17" s="127" t="s">
        <v>78</v>
      </c>
      <c r="H17" s="85"/>
      <c r="I17" s="104">
        <v>20489301.820383959</v>
      </c>
      <c r="J17" s="129">
        <f t="shared" si="0"/>
        <v>17363814.546378221</v>
      </c>
      <c r="K17" s="129">
        <f t="shared" si="1"/>
        <v>17363.81454637822</v>
      </c>
      <c r="M17" s="182"/>
      <c r="N17" s="106"/>
      <c r="O17" s="106"/>
      <c r="Q17" s="139"/>
      <c r="R17" s="128"/>
      <c r="S17" s="128"/>
    </row>
    <row r="18" spans="1:19" s="84" customFormat="1">
      <c r="A18" t="s">
        <v>60</v>
      </c>
      <c r="B18" t="s">
        <v>56</v>
      </c>
      <c r="C18" t="s">
        <v>75</v>
      </c>
      <c r="D18" t="s">
        <v>83</v>
      </c>
      <c r="E18"/>
      <c r="F18" s="123" t="s">
        <v>78</v>
      </c>
      <c r="G18" s="127" t="s">
        <v>78</v>
      </c>
      <c r="H18" s="85"/>
      <c r="I18" s="104">
        <v>49978687.069964521</v>
      </c>
      <c r="J18" s="129">
        <f t="shared" si="0"/>
        <v>42354818.195463166</v>
      </c>
      <c r="K18" s="129">
        <f t="shared" si="1"/>
        <v>42354.818195463165</v>
      </c>
      <c r="M18" s="104"/>
      <c r="Q18" s="139"/>
      <c r="R18" s="128"/>
      <c r="S18" s="128"/>
    </row>
    <row r="19" spans="1:19" s="84" customFormat="1">
      <c r="A19" t="s">
        <v>60</v>
      </c>
      <c r="B19" t="s">
        <v>54</v>
      </c>
      <c r="C19" t="s">
        <v>75</v>
      </c>
      <c r="D19" t="s">
        <v>76</v>
      </c>
      <c r="E19"/>
      <c r="F19" s="123" t="s">
        <v>78</v>
      </c>
      <c r="G19" s="127" t="s">
        <v>78</v>
      </c>
      <c r="H19" s="85"/>
      <c r="I19" s="104">
        <v>43556414.113051519</v>
      </c>
      <c r="J19" s="129">
        <f t="shared" si="0"/>
        <v>36912214.168852769</v>
      </c>
      <c r="K19" s="129">
        <f t="shared" si="1"/>
        <v>36912.21416885277</v>
      </c>
      <c r="M19" s="182"/>
      <c r="Q19" s="139"/>
      <c r="R19" s="128"/>
      <c r="S19" s="128"/>
    </row>
    <row r="20" spans="1:19" s="84" customFormat="1">
      <c r="A20" t="s">
        <v>94</v>
      </c>
      <c r="B20" t="s">
        <v>60</v>
      </c>
      <c r="C20" t="s">
        <v>75</v>
      </c>
      <c r="D20"/>
      <c r="E20"/>
      <c r="F20" s="123" t="s">
        <v>78</v>
      </c>
      <c r="G20" s="127" t="s">
        <v>78</v>
      </c>
      <c r="H20" s="85"/>
      <c r="I20" s="104">
        <v>114024403.0034</v>
      </c>
      <c r="J20" s="129">
        <f t="shared" si="0"/>
        <v>96630846.910694152</v>
      </c>
      <c r="K20" s="129">
        <f t="shared" si="1"/>
        <v>96630.846910694148</v>
      </c>
      <c r="M20" s="139"/>
      <c r="Q20" s="139"/>
      <c r="R20" s="128"/>
      <c r="S20" s="128"/>
    </row>
    <row r="21" spans="1:19">
      <c r="A21" t="s">
        <v>699</v>
      </c>
      <c r="B21" t="s">
        <v>700</v>
      </c>
      <c r="C21" t="s">
        <v>75</v>
      </c>
      <c r="D21" t="s">
        <v>88</v>
      </c>
      <c r="E21" t="s">
        <v>93</v>
      </c>
      <c r="F21" s="104">
        <v>596350.84070009389</v>
      </c>
      <c r="G21" s="123">
        <v>595267.66687307693</v>
      </c>
      <c r="H21" s="83">
        <f t="shared" ref="H21:H52" si="2">(F21-G21)/F21</f>
        <v>1.8163365473675744E-3</v>
      </c>
      <c r="I21" s="126" t="s">
        <v>78</v>
      </c>
      <c r="J21" s="129">
        <f>F21*0.8474576</f>
        <v>505382.05221768393</v>
      </c>
      <c r="K21" s="129">
        <f t="shared" si="1"/>
        <v>505.38205221768391</v>
      </c>
    </row>
    <row r="22" spans="1:19">
      <c r="A22" t="s">
        <v>699</v>
      </c>
      <c r="B22" t="s">
        <v>701</v>
      </c>
      <c r="C22" t="s">
        <v>75</v>
      </c>
      <c r="D22" t="s">
        <v>88</v>
      </c>
      <c r="E22" t="s">
        <v>93</v>
      </c>
      <c r="F22" s="104">
        <v>596350.84070009389</v>
      </c>
      <c r="G22" s="123">
        <v>595267.66687307693</v>
      </c>
      <c r="H22" s="83">
        <f t="shared" si="2"/>
        <v>1.8163365473675744E-3</v>
      </c>
      <c r="I22" s="126" t="s">
        <v>78</v>
      </c>
      <c r="J22" s="129">
        <f t="shared" ref="J22:J85" si="3">F22*0.8474576</f>
        <v>505382.05221768393</v>
      </c>
      <c r="K22" s="129">
        <f t="shared" si="1"/>
        <v>505.38205221768391</v>
      </c>
    </row>
    <row r="23" spans="1:19">
      <c r="A23" t="s">
        <v>699</v>
      </c>
      <c r="B23" t="s">
        <v>702</v>
      </c>
      <c r="C23" t="s">
        <v>75</v>
      </c>
      <c r="D23" t="s">
        <v>88</v>
      </c>
      <c r="E23" t="s">
        <v>93</v>
      </c>
      <c r="F23" s="104">
        <v>596350.84070009389</v>
      </c>
      <c r="G23" s="123">
        <v>595267.66687307693</v>
      </c>
      <c r="H23" s="83">
        <f t="shared" si="2"/>
        <v>1.8163365473675744E-3</v>
      </c>
      <c r="I23" s="126" t="s">
        <v>78</v>
      </c>
      <c r="J23" s="129">
        <f t="shared" si="3"/>
        <v>505382.05221768393</v>
      </c>
      <c r="K23" s="129">
        <f t="shared" si="1"/>
        <v>505.38205221768391</v>
      </c>
      <c r="M23" s="80"/>
    </row>
    <row r="24" spans="1:19">
      <c r="A24" t="s">
        <v>699</v>
      </c>
      <c r="B24" t="s">
        <v>703</v>
      </c>
      <c r="C24" t="s">
        <v>75</v>
      </c>
      <c r="D24" t="s">
        <v>88</v>
      </c>
      <c r="E24" t="s">
        <v>93</v>
      </c>
      <c r="F24" s="104">
        <v>596350.84070009389</v>
      </c>
      <c r="G24" s="123">
        <v>595267.66687307693</v>
      </c>
      <c r="H24" s="83">
        <f t="shared" si="2"/>
        <v>1.8163365473675744E-3</v>
      </c>
      <c r="I24" s="126" t="s">
        <v>78</v>
      </c>
      <c r="J24" s="129">
        <f t="shared" si="3"/>
        <v>505382.05221768393</v>
      </c>
      <c r="K24" s="129">
        <f t="shared" si="1"/>
        <v>505.38205221768391</v>
      </c>
      <c r="M24" s="80"/>
    </row>
    <row r="25" spans="1:19">
      <c r="A25" t="s">
        <v>699</v>
      </c>
      <c r="B25" t="s">
        <v>117</v>
      </c>
      <c r="C25" t="s">
        <v>75</v>
      </c>
      <c r="D25" t="s">
        <v>88</v>
      </c>
      <c r="E25" t="s">
        <v>93</v>
      </c>
      <c r="F25" s="104">
        <v>596350.84070009389</v>
      </c>
      <c r="G25" s="123">
        <v>595267.66687307693</v>
      </c>
      <c r="H25" s="83">
        <f t="shared" si="2"/>
        <v>1.8163365473675744E-3</v>
      </c>
      <c r="I25" s="126" t="s">
        <v>78</v>
      </c>
      <c r="J25" s="129">
        <f t="shared" si="3"/>
        <v>505382.05221768393</v>
      </c>
      <c r="K25" s="129">
        <f t="shared" si="1"/>
        <v>505.38205221768391</v>
      </c>
    </row>
    <row r="26" spans="1:19">
      <c r="A26" t="s">
        <v>699</v>
      </c>
      <c r="B26" t="s">
        <v>704</v>
      </c>
      <c r="C26" t="s">
        <v>75</v>
      </c>
      <c r="D26" t="s">
        <v>88</v>
      </c>
      <c r="E26" t="s">
        <v>93</v>
      </c>
      <c r="F26" s="104">
        <v>596350.84070009389</v>
      </c>
      <c r="G26" s="123">
        <v>595267.66687307693</v>
      </c>
      <c r="H26" s="83">
        <f t="shared" si="2"/>
        <v>1.8163365473675744E-3</v>
      </c>
      <c r="I26" s="126" t="s">
        <v>78</v>
      </c>
      <c r="J26" s="129">
        <f t="shared" si="3"/>
        <v>505382.05221768393</v>
      </c>
      <c r="K26" s="129">
        <f t="shared" si="1"/>
        <v>505.38205221768391</v>
      </c>
    </row>
    <row r="27" spans="1:19">
      <c r="A27" t="s">
        <v>699</v>
      </c>
      <c r="B27" t="s">
        <v>119</v>
      </c>
      <c r="C27" t="s">
        <v>75</v>
      </c>
      <c r="D27" t="s">
        <v>88</v>
      </c>
      <c r="E27" t="s">
        <v>93</v>
      </c>
      <c r="F27" s="104">
        <v>596350.84070009389</v>
      </c>
      <c r="G27" s="123">
        <v>595267.66687307693</v>
      </c>
      <c r="H27" s="83">
        <f t="shared" si="2"/>
        <v>1.8163365473675744E-3</v>
      </c>
      <c r="I27" s="126" t="s">
        <v>78</v>
      </c>
      <c r="J27" s="129">
        <f t="shared" si="3"/>
        <v>505382.05221768393</v>
      </c>
      <c r="K27" s="129">
        <f t="shared" si="1"/>
        <v>505.38205221768391</v>
      </c>
    </row>
    <row r="28" spans="1:19">
      <c r="A28" t="s">
        <v>28</v>
      </c>
      <c r="B28" t="s">
        <v>120</v>
      </c>
      <c r="C28" t="s">
        <v>75</v>
      </c>
      <c r="D28" t="s">
        <v>88</v>
      </c>
      <c r="E28" t="s">
        <v>91</v>
      </c>
      <c r="F28" s="104">
        <v>596350.84070009389</v>
      </c>
      <c r="G28" s="123">
        <v>595267.66687307693</v>
      </c>
      <c r="H28" s="83">
        <f t="shared" si="2"/>
        <v>1.8163365473675744E-3</v>
      </c>
      <c r="I28" s="126" t="s">
        <v>78</v>
      </c>
      <c r="J28" s="129">
        <f t="shared" si="3"/>
        <v>505382.05221768393</v>
      </c>
      <c r="K28" s="129">
        <f t="shared" si="1"/>
        <v>505.38205221768391</v>
      </c>
    </row>
    <row r="29" spans="1:19">
      <c r="A29" t="s">
        <v>28</v>
      </c>
      <c r="B29" t="s">
        <v>99</v>
      </c>
      <c r="C29" t="s">
        <v>75</v>
      </c>
      <c r="D29" t="s">
        <v>88</v>
      </c>
      <c r="E29" t="s">
        <v>91</v>
      </c>
      <c r="F29" s="104">
        <v>596350.84070009389</v>
      </c>
      <c r="G29" s="123">
        <v>595267.66687307693</v>
      </c>
      <c r="H29" s="83">
        <f t="shared" si="2"/>
        <v>1.8163365473675744E-3</v>
      </c>
      <c r="I29" s="126" t="s">
        <v>78</v>
      </c>
      <c r="J29" s="129">
        <f t="shared" si="3"/>
        <v>505382.05221768393</v>
      </c>
      <c r="K29" s="129">
        <f t="shared" si="1"/>
        <v>505.38205221768391</v>
      </c>
    </row>
    <row r="30" spans="1:19">
      <c r="A30" t="s">
        <v>28</v>
      </c>
      <c r="B30" t="s">
        <v>100</v>
      </c>
      <c r="C30" t="s">
        <v>75</v>
      </c>
      <c r="D30" t="s">
        <v>88</v>
      </c>
      <c r="E30" t="s">
        <v>91</v>
      </c>
      <c r="F30" s="104">
        <v>596350.84070009389</v>
      </c>
      <c r="G30" s="123">
        <v>595267.66687307693</v>
      </c>
      <c r="H30" s="83">
        <f t="shared" si="2"/>
        <v>1.8163365473675744E-3</v>
      </c>
      <c r="I30" s="126" t="s">
        <v>78</v>
      </c>
      <c r="J30" s="129">
        <f t="shared" si="3"/>
        <v>505382.05221768393</v>
      </c>
      <c r="K30" s="129">
        <f t="shared" si="1"/>
        <v>505.38205221768391</v>
      </c>
    </row>
    <row r="31" spans="1:19">
      <c r="A31" t="s">
        <v>28</v>
      </c>
      <c r="B31" t="s">
        <v>116</v>
      </c>
      <c r="C31" t="s">
        <v>75</v>
      </c>
      <c r="D31" t="s">
        <v>88</v>
      </c>
      <c r="E31" t="s">
        <v>91</v>
      </c>
      <c r="F31" s="104">
        <v>596350.84070009389</v>
      </c>
      <c r="G31" s="123">
        <v>595267.66687307693</v>
      </c>
      <c r="H31" s="83">
        <f t="shared" si="2"/>
        <v>1.8163365473675744E-3</v>
      </c>
      <c r="I31" s="126" t="s">
        <v>78</v>
      </c>
      <c r="J31" s="129">
        <f t="shared" si="3"/>
        <v>505382.05221768393</v>
      </c>
      <c r="K31" s="129">
        <f t="shared" si="1"/>
        <v>505.38205221768391</v>
      </c>
    </row>
    <row r="32" spans="1:19">
      <c r="A32" t="s">
        <v>28</v>
      </c>
      <c r="B32" t="s">
        <v>705</v>
      </c>
      <c r="C32" t="s">
        <v>75</v>
      </c>
      <c r="D32" t="s">
        <v>88</v>
      </c>
      <c r="E32" t="s">
        <v>91</v>
      </c>
      <c r="F32" s="104">
        <v>596350.84070009389</v>
      </c>
      <c r="G32" s="123">
        <v>595267.66687307693</v>
      </c>
      <c r="H32" s="83">
        <f t="shared" si="2"/>
        <v>1.8163365473675744E-3</v>
      </c>
      <c r="I32" s="126" t="s">
        <v>78</v>
      </c>
      <c r="J32" s="129">
        <f t="shared" si="3"/>
        <v>505382.05221768393</v>
      </c>
      <c r="K32" s="129">
        <f t="shared" si="1"/>
        <v>505.38205221768391</v>
      </c>
    </row>
    <row r="33" spans="1:11">
      <c r="A33" t="s">
        <v>28</v>
      </c>
      <c r="B33" t="s">
        <v>706</v>
      </c>
      <c r="C33" t="s">
        <v>75</v>
      </c>
      <c r="D33" t="s">
        <v>88</v>
      </c>
      <c r="E33" t="s">
        <v>91</v>
      </c>
      <c r="F33" s="104">
        <v>596350.84070009389</v>
      </c>
      <c r="G33" s="123">
        <v>595267.66687307693</v>
      </c>
      <c r="H33" s="83">
        <f t="shared" si="2"/>
        <v>1.8163365473675744E-3</v>
      </c>
      <c r="I33" s="126" t="s">
        <v>78</v>
      </c>
      <c r="J33" s="129">
        <f t="shared" si="3"/>
        <v>505382.05221768393</v>
      </c>
      <c r="K33" s="129">
        <f t="shared" si="1"/>
        <v>505.38205221768391</v>
      </c>
    </row>
    <row r="34" spans="1:11">
      <c r="A34" t="s">
        <v>28</v>
      </c>
      <c r="B34" t="s">
        <v>101</v>
      </c>
      <c r="C34" t="s">
        <v>75</v>
      </c>
      <c r="D34" t="s">
        <v>88</v>
      </c>
      <c r="E34" t="s">
        <v>91</v>
      </c>
      <c r="F34" s="104">
        <v>596350.84070009389</v>
      </c>
      <c r="G34" s="123">
        <v>595267.66687307693</v>
      </c>
      <c r="H34" s="83">
        <f t="shared" si="2"/>
        <v>1.8163365473675744E-3</v>
      </c>
      <c r="I34" s="126" t="s">
        <v>78</v>
      </c>
      <c r="J34" s="129">
        <f t="shared" si="3"/>
        <v>505382.05221768393</v>
      </c>
      <c r="K34" s="129">
        <f t="shared" si="1"/>
        <v>505.38205221768391</v>
      </c>
    </row>
    <row r="35" spans="1:11">
      <c r="A35" t="s">
        <v>30</v>
      </c>
      <c r="B35" t="s">
        <v>108</v>
      </c>
      <c r="C35" t="s">
        <v>75</v>
      </c>
      <c r="D35" t="s">
        <v>88</v>
      </c>
      <c r="E35" t="s">
        <v>90</v>
      </c>
      <c r="F35" s="104">
        <v>596350.84070009389</v>
      </c>
      <c r="G35" s="123">
        <v>595267.66687307693</v>
      </c>
      <c r="H35" s="83">
        <f t="shared" si="2"/>
        <v>1.8163365473675744E-3</v>
      </c>
      <c r="I35" s="126" t="s">
        <v>78</v>
      </c>
      <c r="J35" s="129">
        <f t="shared" si="3"/>
        <v>505382.05221768393</v>
      </c>
      <c r="K35" s="129">
        <f t="shared" si="1"/>
        <v>505.38205221768391</v>
      </c>
    </row>
    <row r="36" spans="1:11">
      <c r="A36" t="s">
        <v>30</v>
      </c>
      <c r="B36" t="s">
        <v>109</v>
      </c>
      <c r="C36" t="s">
        <v>75</v>
      </c>
      <c r="D36" t="s">
        <v>88</v>
      </c>
      <c r="E36" t="s">
        <v>90</v>
      </c>
      <c r="F36" s="104">
        <v>596350.84070009389</v>
      </c>
      <c r="G36" s="123">
        <v>595267.66687307693</v>
      </c>
      <c r="H36" s="83">
        <f t="shared" si="2"/>
        <v>1.8163365473675744E-3</v>
      </c>
      <c r="I36" s="126" t="s">
        <v>78</v>
      </c>
      <c r="J36" s="129">
        <f t="shared" si="3"/>
        <v>505382.05221768393</v>
      </c>
      <c r="K36" s="129">
        <f t="shared" si="1"/>
        <v>505.38205221768391</v>
      </c>
    </row>
    <row r="37" spans="1:11">
      <c r="A37" t="s">
        <v>30</v>
      </c>
      <c r="B37" t="s">
        <v>111</v>
      </c>
      <c r="C37" t="s">
        <v>75</v>
      </c>
      <c r="D37" t="s">
        <v>88</v>
      </c>
      <c r="E37" t="s">
        <v>90</v>
      </c>
      <c r="F37" s="104">
        <v>596350.84070009389</v>
      </c>
      <c r="G37" s="123">
        <v>595267.66687307693</v>
      </c>
      <c r="H37" s="83">
        <f t="shared" si="2"/>
        <v>1.8163365473675744E-3</v>
      </c>
      <c r="I37" s="126" t="s">
        <v>78</v>
      </c>
      <c r="J37" s="129">
        <f t="shared" si="3"/>
        <v>505382.05221768393</v>
      </c>
      <c r="K37" s="129">
        <f t="shared" si="1"/>
        <v>505.38205221768391</v>
      </c>
    </row>
    <row r="38" spans="1:11">
      <c r="A38" t="s">
        <v>30</v>
      </c>
      <c r="B38" t="s">
        <v>122</v>
      </c>
      <c r="C38" t="s">
        <v>75</v>
      </c>
      <c r="D38" t="s">
        <v>88</v>
      </c>
      <c r="E38" t="s">
        <v>90</v>
      </c>
      <c r="F38" s="104">
        <v>596350.84070009389</v>
      </c>
      <c r="G38" s="123">
        <v>595267.66687307693</v>
      </c>
      <c r="H38" s="83">
        <f t="shared" si="2"/>
        <v>1.8163365473675744E-3</v>
      </c>
      <c r="I38" s="126" t="s">
        <v>78</v>
      </c>
      <c r="J38" s="129">
        <f t="shared" si="3"/>
        <v>505382.05221768393</v>
      </c>
      <c r="K38" s="129">
        <f t="shared" si="1"/>
        <v>505.38205221768391</v>
      </c>
    </row>
    <row r="39" spans="1:11">
      <c r="A39" t="s">
        <v>30</v>
      </c>
      <c r="B39" t="s">
        <v>112</v>
      </c>
      <c r="C39" t="s">
        <v>75</v>
      </c>
      <c r="D39" t="s">
        <v>88</v>
      </c>
      <c r="E39" t="s">
        <v>90</v>
      </c>
      <c r="F39" s="104">
        <v>596350.84070009389</v>
      </c>
      <c r="G39" s="123">
        <v>595267.66687307693</v>
      </c>
      <c r="H39" s="83">
        <f t="shared" si="2"/>
        <v>1.8163365473675744E-3</v>
      </c>
      <c r="I39" s="126" t="s">
        <v>78</v>
      </c>
      <c r="J39" s="129">
        <f t="shared" si="3"/>
        <v>505382.05221768393</v>
      </c>
      <c r="K39" s="129">
        <f t="shared" si="1"/>
        <v>505.38205221768391</v>
      </c>
    </row>
    <row r="40" spans="1:11">
      <c r="A40" t="s">
        <v>30</v>
      </c>
      <c r="B40" t="s">
        <v>113</v>
      </c>
      <c r="C40" t="s">
        <v>75</v>
      </c>
      <c r="D40" t="s">
        <v>88</v>
      </c>
      <c r="E40" t="s">
        <v>90</v>
      </c>
      <c r="F40" s="104">
        <v>596350.84070009389</v>
      </c>
      <c r="G40" s="123">
        <v>595267.66687307693</v>
      </c>
      <c r="H40" s="83">
        <f t="shared" si="2"/>
        <v>1.8163365473675744E-3</v>
      </c>
      <c r="I40" s="126" t="s">
        <v>78</v>
      </c>
      <c r="J40" s="129">
        <f t="shared" si="3"/>
        <v>505382.05221768393</v>
      </c>
      <c r="K40" s="129">
        <f t="shared" si="1"/>
        <v>505.38205221768391</v>
      </c>
    </row>
    <row r="41" spans="1:11">
      <c r="A41" t="s">
        <v>30</v>
      </c>
      <c r="B41" t="s">
        <v>707</v>
      </c>
      <c r="C41" t="s">
        <v>75</v>
      </c>
      <c r="D41" t="s">
        <v>88</v>
      </c>
      <c r="E41" t="s">
        <v>90</v>
      </c>
      <c r="F41" s="104">
        <v>596350.84070009389</v>
      </c>
      <c r="G41" s="123">
        <v>595267.66687307693</v>
      </c>
      <c r="H41" s="83">
        <f t="shared" si="2"/>
        <v>1.8163365473675744E-3</v>
      </c>
      <c r="I41" s="126" t="s">
        <v>78</v>
      </c>
      <c r="J41" s="129">
        <f t="shared" si="3"/>
        <v>505382.05221768393</v>
      </c>
      <c r="K41" s="129">
        <f t="shared" si="1"/>
        <v>505.38205221768391</v>
      </c>
    </row>
    <row r="42" spans="1:11">
      <c r="A42" t="s">
        <v>32</v>
      </c>
      <c r="B42" t="s">
        <v>102</v>
      </c>
      <c r="C42" t="s">
        <v>75</v>
      </c>
      <c r="D42" t="s">
        <v>88</v>
      </c>
      <c r="E42" t="s">
        <v>92</v>
      </c>
      <c r="F42" s="104">
        <v>596350.84070009389</v>
      </c>
      <c r="G42" s="123">
        <v>595267.66687307693</v>
      </c>
      <c r="H42" s="83">
        <f t="shared" si="2"/>
        <v>1.8163365473675744E-3</v>
      </c>
      <c r="I42" s="126" t="s">
        <v>78</v>
      </c>
      <c r="J42" s="129">
        <f t="shared" si="3"/>
        <v>505382.05221768393</v>
      </c>
      <c r="K42" s="129">
        <f t="shared" si="1"/>
        <v>505.38205221768391</v>
      </c>
    </row>
    <row r="43" spans="1:11">
      <c r="A43" t="s">
        <v>32</v>
      </c>
      <c r="B43" t="s">
        <v>103</v>
      </c>
      <c r="C43" t="s">
        <v>75</v>
      </c>
      <c r="D43" t="s">
        <v>88</v>
      </c>
      <c r="E43" t="s">
        <v>92</v>
      </c>
      <c r="F43" s="104">
        <v>596350.84070009389</v>
      </c>
      <c r="G43" s="123">
        <v>595267.66687307693</v>
      </c>
      <c r="H43" s="83">
        <f t="shared" si="2"/>
        <v>1.8163365473675744E-3</v>
      </c>
      <c r="I43" s="126" t="s">
        <v>78</v>
      </c>
      <c r="J43" s="129">
        <f t="shared" si="3"/>
        <v>505382.05221768393</v>
      </c>
      <c r="K43" s="129">
        <f t="shared" si="1"/>
        <v>505.38205221768391</v>
      </c>
    </row>
    <row r="44" spans="1:11">
      <c r="A44" t="s">
        <v>32</v>
      </c>
      <c r="B44" t="s">
        <v>104</v>
      </c>
      <c r="C44" t="s">
        <v>75</v>
      </c>
      <c r="D44" t="s">
        <v>88</v>
      </c>
      <c r="E44" t="s">
        <v>92</v>
      </c>
      <c r="F44" s="104">
        <v>596350.84070009389</v>
      </c>
      <c r="G44" s="123">
        <v>595267.66687307693</v>
      </c>
      <c r="H44" s="83">
        <f t="shared" si="2"/>
        <v>1.8163365473675744E-3</v>
      </c>
      <c r="I44" s="126" t="s">
        <v>78</v>
      </c>
      <c r="J44" s="129">
        <f t="shared" si="3"/>
        <v>505382.05221768393</v>
      </c>
      <c r="K44" s="129">
        <f t="shared" si="1"/>
        <v>505.38205221768391</v>
      </c>
    </row>
    <row r="45" spans="1:11">
      <c r="A45" t="s">
        <v>32</v>
      </c>
      <c r="B45" t="s">
        <v>708</v>
      </c>
      <c r="C45" t="s">
        <v>75</v>
      </c>
      <c r="D45" t="s">
        <v>88</v>
      </c>
      <c r="E45" t="s">
        <v>92</v>
      </c>
      <c r="F45" s="104">
        <v>596350.84070009389</v>
      </c>
      <c r="G45" s="123">
        <v>595267.66687307693</v>
      </c>
      <c r="H45" s="83">
        <f t="shared" si="2"/>
        <v>1.8163365473675744E-3</v>
      </c>
      <c r="I45" s="126" t="s">
        <v>78</v>
      </c>
      <c r="J45" s="129">
        <f t="shared" si="3"/>
        <v>505382.05221768393</v>
      </c>
      <c r="K45" s="129">
        <f t="shared" si="1"/>
        <v>505.38205221768391</v>
      </c>
    </row>
    <row r="46" spans="1:11">
      <c r="A46" t="s">
        <v>32</v>
      </c>
      <c r="B46" t="s">
        <v>105</v>
      </c>
      <c r="C46" t="s">
        <v>75</v>
      </c>
      <c r="D46" t="s">
        <v>88</v>
      </c>
      <c r="E46" t="s">
        <v>92</v>
      </c>
      <c r="F46" s="104">
        <v>596350.84070009389</v>
      </c>
      <c r="G46" s="123">
        <v>595267.66687307693</v>
      </c>
      <c r="H46" s="83">
        <f t="shared" si="2"/>
        <v>1.8163365473675744E-3</v>
      </c>
      <c r="I46" s="126" t="s">
        <v>78</v>
      </c>
      <c r="J46" s="129">
        <f t="shared" si="3"/>
        <v>505382.05221768393</v>
      </c>
      <c r="K46" s="129">
        <f t="shared" si="1"/>
        <v>505.38205221768391</v>
      </c>
    </row>
    <row r="47" spans="1:11">
      <c r="A47" t="s">
        <v>32</v>
      </c>
      <c r="B47" t="s">
        <v>106</v>
      </c>
      <c r="C47" t="s">
        <v>75</v>
      </c>
      <c r="D47" t="s">
        <v>88</v>
      </c>
      <c r="E47" t="s">
        <v>92</v>
      </c>
      <c r="F47" s="104">
        <v>596350.84070009389</v>
      </c>
      <c r="G47" s="123">
        <v>595267.66687307693</v>
      </c>
      <c r="H47" s="83">
        <f t="shared" si="2"/>
        <v>1.8163365473675744E-3</v>
      </c>
      <c r="I47" s="126" t="s">
        <v>78</v>
      </c>
      <c r="J47" s="129">
        <f t="shared" si="3"/>
        <v>505382.05221768393</v>
      </c>
      <c r="K47" s="129">
        <f t="shared" si="1"/>
        <v>505.38205221768391</v>
      </c>
    </row>
    <row r="48" spans="1:11">
      <c r="A48" t="s">
        <v>32</v>
      </c>
      <c r="B48" t="s">
        <v>107</v>
      </c>
      <c r="C48" t="s">
        <v>75</v>
      </c>
      <c r="D48" t="s">
        <v>88</v>
      </c>
      <c r="E48" t="s">
        <v>92</v>
      </c>
      <c r="F48" s="104">
        <v>596350.84070009389</v>
      </c>
      <c r="G48" s="123">
        <v>595267.66687307693</v>
      </c>
      <c r="H48" s="83">
        <f t="shared" si="2"/>
        <v>1.8163365473675744E-3</v>
      </c>
      <c r="I48" s="126" t="s">
        <v>78</v>
      </c>
      <c r="J48" s="129">
        <f t="shared" si="3"/>
        <v>505382.05221768393</v>
      </c>
      <c r="K48" s="129">
        <f t="shared" si="1"/>
        <v>505.38205221768391</v>
      </c>
    </row>
    <row r="49" spans="1:11">
      <c r="A49" t="s">
        <v>34</v>
      </c>
      <c r="B49" t="s">
        <v>709</v>
      </c>
      <c r="C49" t="s">
        <v>75</v>
      </c>
      <c r="D49" t="s">
        <v>88</v>
      </c>
      <c r="E49" t="s">
        <v>89</v>
      </c>
      <c r="F49" s="104">
        <v>596350.84070009389</v>
      </c>
      <c r="G49" s="123">
        <v>595267.66687307693</v>
      </c>
      <c r="H49" s="83">
        <f t="shared" si="2"/>
        <v>1.8163365473675744E-3</v>
      </c>
      <c r="I49" s="126" t="s">
        <v>78</v>
      </c>
      <c r="J49" s="129">
        <f t="shared" si="3"/>
        <v>505382.05221768393</v>
      </c>
      <c r="K49" s="129">
        <f t="shared" si="1"/>
        <v>505.38205221768391</v>
      </c>
    </row>
    <row r="50" spans="1:11">
      <c r="A50" t="s">
        <v>34</v>
      </c>
      <c r="B50" t="s">
        <v>95</v>
      </c>
      <c r="C50" t="s">
        <v>75</v>
      </c>
      <c r="D50" t="s">
        <v>88</v>
      </c>
      <c r="E50" t="s">
        <v>89</v>
      </c>
      <c r="F50" s="104">
        <v>596350.84070009389</v>
      </c>
      <c r="G50" s="123">
        <v>595267.66687307693</v>
      </c>
      <c r="H50" s="83">
        <f t="shared" si="2"/>
        <v>1.8163365473675744E-3</v>
      </c>
      <c r="I50" s="126" t="s">
        <v>78</v>
      </c>
      <c r="J50" s="129">
        <f t="shared" si="3"/>
        <v>505382.05221768393</v>
      </c>
      <c r="K50" s="129">
        <f t="shared" si="1"/>
        <v>505.38205221768391</v>
      </c>
    </row>
    <row r="51" spans="1:11">
      <c r="A51" t="s">
        <v>34</v>
      </c>
      <c r="B51" t="s">
        <v>710</v>
      </c>
      <c r="C51" t="s">
        <v>75</v>
      </c>
      <c r="D51" t="s">
        <v>88</v>
      </c>
      <c r="E51" t="s">
        <v>89</v>
      </c>
      <c r="F51" s="104">
        <v>596350.84070009389</v>
      </c>
      <c r="G51" s="123">
        <v>595267.66687307693</v>
      </c>
      <c r="H51" s="83">
        <f t="shared" si="2"/>
        <v>1.8163365473675744E-3</v>
      </c>
      <c r="I51" s="126" t="s">
        <v>78</v>
      </c>
      <c r="J51" s="129">
        <f t="shared" si="3"/>
        <v>505382.05221768393</v>
      </c>
      <c r="K51" s="129">
        <f t="shared" si="1"/>
        <v>505.38205221768391</v>
      </c>
    </row>
    <row r="52" spans="1:11">
      <c r="A52" t="s">
        <v>34</v>
      </c>
      <c r="B52" t="s">
        <v>121</v>
      </c>
      <c r="C52" t="s">
        <v>75</v>
      </c>
      <c r="D52" t="s">
        <v>88</v>
      </c>
      <c r="E52" t="s">
        <v>89</v>
      </c>
      <c r="F52" s="104">
        <v>596350.84070009389</v>
      </c>
      <c r="G52" s="123">
        <v>595267.66687307693</v>
      </c>
      <c r="H52" s="83">
        <f t="shared" si="2"/>
        <v>1.8163365473675744E-3</v>
      </c>
      <c r="I52" s="126" t="s">
        <v>78</v>
      </c>
      <c r="J52" s="129">
        <f t="shared" si="3"/>
        <v>505382.05221768393</v>
      </c>
      <c r="K52" s="129">
        <f t="shared" si="1"/>
        <v>505.38205221768391</v>
      </c>
    </row>
    <row r="53" spans="1:11">
      <c r="A53" t="s">
        <v>34</v>
      </c>
      <c r="B53" t="s">
        <v>96</v>
      </c>
      <c r="C53" t="s">
        <v>75</v>
      </c>
      <c r="D53" t="s">
        <v>88</v>
      </c>
      <c r="E53" t="s">
        <v>89</v>
      </c>
      <c r="F53" s="104">
        <v>596350.84070009389</v>
      </c>
      <c r="G53" s="123">
        <v>595267.66687307693</v>
      </c>
      <c r="H53" s="83">
        <f t="shared" ref="H53:H84" si="4">(F53-G53)/F53</f>
        <v>1.8163365473675744E-3</v>
      </c>
      <c r="I53" s="126" t="s">
        <v>78</v>
      </c>
      <c r="J53" s="129">
        <f t="shared" si="3"/>
        <v>505382.05221768393</v>
      </c>
      <c r="K53" s="129">
        <f t="shared" si="1"/>
        <v>505.38205221768391</v>
      </c>
    </row>
    <row r="54" spans="1:11">
      <c r="A54" t="s">
        <v>34</v>
      </c>
      <c r="B54" t="s">
        <v>97</v>
      </c>
      <c r="C54" t="s">
        <v>75</v>
      </c>
      <c r="D54" t="s">
        <v>88</v>
      </c>
      <c r="E54" t="s">
        <v>89</v>
      </c>
      <c r="F54" s="104">
        <v>596350.84070009389</v>
      </c>
      <c r="G54" s="123">
        <v>595267.66687307693</v>
      </c>
      <c r="H54" s="83">
        <f t="shared" si="4"/>
        <v>1.8163365473675744E-3</v>
      </c>
      <c r="I54" s="126" t="s">
        <v>78</v>
      </c>
      <c r="J54" s="129">
        <f t="shared" si="3"/>
        <v>505382.05221768393</v>
      </c>
      <c r="K54" s="129">
        <f t="shared" si="1"/>
        <v>505.38205221768391</v>
      </c>
    </row>
    <row r="55" spans="1:11">
      <c r="A55" t="s">
        <v>34</v>
      </c>
      <c r="B55" t="s">
        <v>98</v>
      </c>
      <c r="C55" t="s">
        <v>75</v>
      </c>
      <c r="D55" t="s">
        <v>88</v>
      </c>
      <c r="E55" t="s">
        <v>89</v>
      </c>
      <c r="F55" s="104">
        <v>596350.84070009389</v>
      </c>
      <c r="G55" s="123">
        <v>595267.66687307693</v>
      </c>
      <c r="H55" s="83">
        <f t="shared" si="4"/>
        <v>1.8163365473675744E-3</v>
      </c>
      <c r="I55" s="126" t="s">
        <v>78</v>
      </c>
      <c r="J55" s="129">
        <f t="shared" si="3"/>
        <v>505382.05221768393</v>
      </c>
      <c r="K55" s="129">
        <f t="shared" si="1"/>
        <v>505.38205221768391</v>
      </c>
    </row>
    <row r="56" spans="1:11">
      <c r="A56" t="s">
        <v>36</v>
      </c>
      <c r="B56" t="s">
        <v>142</v>
      </c>
      <c r="C56" t="s">
        <v>75</v>
      </c>
      <c r="D56" t="s">
        <v>83</v>
      </c>
      <c r="E56" t="s">
        <v>86</v>
      </c>
      <c r="F56" s="104">
        <v>1801634.9144045955</v>
      </c>
      <c r="G56" s="123">
        <v>595267.66687307693</v>
      </c>
      <c r="H56" s="83">
        <f t="shared" si="4"/>
        <v>0.66959584202451972</v>
      </c>
      <c r="I56" s="126" t="s">
        <v>78</v>
      </c>
      <c r="J56" s="129">
        <f t="shared" si="3"/>
        <v>1526809.200637524</v>
      </c>
      <c r="K56" s="129">
        <f t="shared" si="1"/>
        <v>1526.8092006375241</v>
      </c>
    </row>
    <row r="57" spans="1:11">
      <c r="A57" t="s">
        <v>36</v>
      </c>
      <c r="B57" t="s">
        <v>143</v>
      </c>
      <c r="C57" t="s">
        <v>75</v>
      </c>
      <c r="D57" t="s">
        <v>83</v>
      </c>
      <c r="E57" t="s">
        <v>86</v>
      </c>
      <c r="F57" s="104">
        <v>1801634.9144045955</v>
      </c>
      <c r="G57" s="123">
        <v>595267.66687307693</v>
      </c>
      <c r="H57" s="83">
        <f t="shared" si="4"/>
        <v>0.66959584202451972</v>
      </c>
      <c r="I57" s="126" t="s">
        <v>78</v>
      </c>
      <c r="J57" s="129">
        <f t="shared" si="3"/>
        <v>1526809.200637524</v>
      </c>
      <c r="K57" s="129">
        <f t="shared" si="1"/>
        <v>1526.8092006375241</v>
      </c>
    </row>
    <row r="58" spans="1:11">
      <c r="A58" t="s">
        <v>36</v>
      </c>
      <c r="B58" t="s">
        <v>144</v>
      </c>
      <c r="C58" t="s">
        <v>75</v>
      </c>
      <c r="D58" t="s">
        <v>83</v>
      </c>
      <c r="E58" t="s">
        <v>86</v>
      </c>
      <c r="F58" s="104">
        <v>1801634.9144045955</v>
      </c>
      <c r="G58" s="123">
        <v>595267.66687307693</v>
      </c>
      <c r="H58" s="83">
        <f t="shared" si="4"/>
        <v>0.66959584202451972</v>
      </c>
      <c r="I58" s="126" t="s">
        <v>78</v>
      </c>
      <c r="J58" s="129">
        <f t="shared" si="3"/>
        <v>1526809.200637524</v>
      </c>
      <c r="K58" s="129">
        <f t="shared" si="1"/>
        <v>1526.8092006375241</v>
      </c>
    </row>
    <row r="59" spans="1:11">
      <c r="A59" t="s">
        <v>36</v>
      </c>
      <c r="B59" t="s">
        <v>145</v>
      </c>
      <c r="C59" t="s">
        <v>75</v>
      </c>
      <c r="D59" t="s">
        <v>83</v>
      </c>
      <c r="E59" t="s">
        <v>86</v>
      </c>
      <c r="F59" s="104">
        <v>1801634.9144045955</v>
      </c>
      <c r="G59" s="123">
        <v>595267.66687307693</v>
      </c>
      <c r="H59" s="83">
        <f t="shared" si="4"/>
        <v>0.66959584202451972</v>
      </c>
      <c r="I59" s="126" t="s">
        <v>78</v>
      </c>
      <c r="J59" s="129">
        <f t="shared" si="3"/>
        <v>1526809.200637524</v>
      </c>
      <c r="K59" s="129">
        <f t="shared" si="1"/>
        <v>1526.8092006375241</v>
      </c>
    </row>
    <row r="60" spans="1:11">
      <c r="A60" t="s">
        <v>36</v>
      </c>
      <c r="B60" t="s">
        <v>146</v>
      </c>
      <c r="C60" t="s">
        <v>75</v>
      </c>
      <c r="D60" t="s">
        <v>83</v>
      </c>
      <c r="E60" t="s">
        <v>86</v>
      </c>
      <c r="F60" s="104">
        <v>1801634.9144045955</v>
      </c>
      <c r="G60" s="123">
        <v>1741640.1946942308</v>
      </c>
      <c r="H60" s="83">
        <f t="shared" si="4"/>
        <v>3.3300153782927638E-2</v>
      </c>
      <c r="I60" s="126" t="s">
        <v>78</v>
      </c>
      <c r="J60" s="129">
        <f t="shared" si="3"/>
        <v>1526809.200637524</v>
      </c>
      <c r="K60" s="129">
        <f t="shared" si="1"/>
        <v>1526.8092006375241</v>
      </c>
    </row>
    <row r="61" spans="1:11">
      <c r="A61" t="s">
        <v>36</v>
      </c>
      <c r="B61" t="s">
        <v>147</v>
      </c>
      <c r="C61" t="s">
        <v>75</v>
      </c>
      <c r="D61" t="s">
        <v>83</v>
      </c>
      <c r="E61" t="s">
        <v>86</v>
      </c>
      <c r="F61" s="104">
        <v>1801634.9144045955</v>
      </c>
      <c r="G61" s="123">
        <v>1741640.1946942308</v>
      </c>
      <c r="H61" s="83">
        <f t="shared" si="4"/>
        <v>3.3300153782927638E-2</v>
      </c>
      <c r="I61" s="126" t="s">
        <v>78</v>
      </c>
      <c r="J61" s="129">
        <f t="shared" si="3"/>
        <v>1526809.200637524</v>
      </c>
      <c r="K61" s="129">
        <f t="shared" si="1"/>
        <v>1526.8092006375241</v>
      </c>
    </row>
    <row r="62" spans="1:11">
      <c r="A62" t="s">
        <v>36</v>
      </c>
      <c r="B62" t="s">
        <v>148</v>
      </c>
      <c r="C62" t="s">
        <v>75</v>
      </c>
      <c r="D62" t="s">
        <v>83</v>
      </c>
      <c r="E62" t="s">
        <v>86</v>
      </c>
      <c r="F62" s="104">
        <v>1801634.9144045955</v>
      </c>
      <c r="G62" s="123">
        <v>1741640.1946942308</v>
      </c>
      <c r="H62" s="83">
        <f t="shared" si="4"/>
        <v>3.3300153782927638E-2</v>
      </c>
      <c r="I62" s="126" t="s">
        <v>78</v>
      </c>
      <c r="J62" s="129">
        <f t="shared" si="3"/>
        <v>1526809.200637524</v>
      </c>
      <c r="K62" s="129">
        <f t="shared" si="1"/>
        <v>1526.8092006375241</v>
      </c>
    </row>
    <row r="63" spans="1:11">
      <c r="A63" t="s">
        <v>38</v>
      </c>
      <c r="B63" t="s">
        <v>129</v>
      </c>
      <c r="C63" t="s">
        <v>75</v>
      </c>
      <c r="D63" t="s">
        <v>83</v>
      </c>
      <c r="E63" t="s">
        <v>85</v>
      </c>
      <c r="F63" s="104">
        <v>1801634.9144045955</v>
      </c>
      <c r="G63" s="123">
        <v>1741640.1946942308</v>
      </c>
      <c r="H63" s="83">
        <f t="shared" si="4"/>
        <v>3.3300153782927638E-2</v>
      </c>
      <c r="I63" s="126" t="s">
        <v>78</v>
      </c>
      <c r="J63" s="129">
        <f t="shared" si="3"/>
        <v>1526809.200637524</v>
      </c>
      <c r="K63" s="129">
        <f t="shared" si="1"/>
        <v>1526.8092006375241</v>
      </c>
    </row>
    <row r="64" spans="1:11">
      <c r="A64" t="s">
        <v>38</v>
      </c>
      <c r="B64" t="s">
        <v>130</v>
      </c>
      <c r="C64" t="s">
        <v>75</v>
      </c>
      <c r="D64" t="s">
        <v>83</v>
      </c>
      <c r="E64" t="s">
        <v>85</v>
      </c>
      <c r="F64" s="104">
        <v>1801634.9144045955</v>
      </c>
      <c r="G64" s="123">
        <v>1741640.1946942308</v>
      </c>
      <c r="H64" s="83">
        <f t="shared" si="4"/>
        <v>3.3300153782927638E-2</v>
      </c>
      <c r="I64" s="126" t="s">
        <v>78</v>
      </c>
      <c r="J64" s="129">
        <f t="shared" si="3"/>
        <v>1526809.200637524</v>
      </c>
      <c r="K64" s="129">
        <f t="shared" si="1"/>
        <v>1526.8092006375241</v>
      </c>
    </row>
    <row r="65" spans="1:11">
      <c r="A65" t="s">
        <v>38</v>
      </c>
      <c r="B65" t="s">
        <v>131</v>
      </c>
      <c r="C65" t="s">
        <v>75</v>
      </c>
      <c r="D65" t="s">
        <v>83</v>
      </c>
      <c r="E65" t="s">
        <v>85</v>
      </c>
      <c r="F65" s="104">
        <v>1801634.9144045955</v>
      </c>
      <c r="G65" s="123">
        <v>1741640.1946942308</v>
      </c>
      <c r="H65" s="83">
        <f t="shared" si="4"/>
        <v>3.3300153782927638E-2</v>
      </c>
      <c r="I65" s="126" t="s">
        <v>78</v>
      </c>
      <c r="J65" s="129">
        <f t="shared" si="3"/>
        <v>1526809.200637524</v>
      </c>
      <c r="K65" s="129">
        <f t="shared" si="1"/>
        <v>1526.8092006375241</v>
      </c>
    </row>
    <row r="66" spans="1:11">
      <c r="A66" t="s">
        <v>38</v>
      </c>
      <c r="B66" t="s">
        <v>132</v>
      </c>
      <c r="C66" t="s">
        <v>75</v>
      </c>
      <c r="D66" t="s">
        <v>83</v>
      </c>
      <c r="E66" t="s">
        <v>85</v>
      </c>
      <c r="F66" s="104">
        <v>1801634.9144045955</v>
      </c>
      <c r="G66" s="123">
        <v>1741640.1946942308</v>
      </c>
      <c r="H66" s="83">
        <f t="shared" si="4"/>
        <v>3.3300153782927638E-2</v>
      </c>
      <c r="I66" s="126" t="s">
        <v>78</v>
      </c>
      <c r="J66" s="129">
        <f t="shared" si="3"/>
        <v>1526809.200637524</v>
      </c>
      <c r="K66" s="129">
        <f t="shared" ref="K66:K124" si="5">J66/1000</f>
        <v>1526.8092006375241</v>
      </c>
    </row>
    <row r="67" spans="1:11">
      <c r="A67" t="s">
        <v>38</v>
      </c>
      <c r="B67" t="s">
        <v>133</v>
      </c>
      <c r="C67" t="s">
        <v>75</v>
      </c>
      <c r="D67" t="s">
        <v>83</v>
      </c>
      <c r="E67" t="s">
        <v>85</v>
      </c>
      <c r="F67" s="104">
        <v>1801634.9144045955</v>
      </c>
      <c r="G67" s="123">
        <v>1741640.1946942308</v>
      </c>
      <c r="H67" s="83">
        <f t="shared" si="4"/>
        <v>3.3300153782927638E-2</v>
      </c>
      <c r="I67" s="126" t="s">
        <v>78</v>
      </c>
      <c r="J67" s="129">
        <f t="shared" si="3"/>
        <v>1526809.200637524</v>
      </c>
      <c r="K67" s="129">
        <f t="shared" si="5"/>
        <v>1526.8092006375241</v>
      </c>
    </row>
    <row r="68" spans="1:11">
      <c r="A68" t="s">
        <v>38</v>
      </c>
      <c r="C68" t="s">
        <v>75</v>
      </c>
      <c r="D68" t="s">
        <v>83</v>
      </c>
      <c r="E68" t="s">
        <v>85</v>
      </c>
      <c r="F68" s="104">
        <v>1801634.9144045955</v>
      </c>
      <c r="G68" s="123">
        <v>1741640.1946942308</v>
      </c>
      <c r="H68" s="83">
        <f t="shared" si="4"/>
        <v>3.3300153782927638E-2</v>
      </c>
      <c r="I68" s="126" t="s">
        <v>78</v>
      </c>
      <c r="J68" s="129">
        <f t="shared" si="3"/>
        <v>1526809.200637524</v>
      </c>
      <c r="K68" s="129">
        <f t="shared" si="5"/>
        <v>1526.8092006375241</v>
      </c>
    </row>
    <row r="69" spans="1:11">
      <c r="A69" t="s">
        <v>38</v>
      </c>
      <c r="B69" t="s">
        <v>711</v>
      </c>
      <c r="C69" t="s">
        <v>75</v>
      </c>
      <c r="D69" t="s">
        <v>83</v>
      </c>
      <c r="E69" t="s">
        <v>85</v>
      </c>
      <c r="F69" s="104">
        <v>1801634.9144045955</v>
      </c>
      <c r="G69" s="123">
        <v>1741640.1946942308</v>
      </c>
      <c r="H69" s="83">
        <f t="shared" si="4"/>
        <v>3.3300153782927638E-2</v>
      </c>
      <c r="I69" s="126" t="s">
        <v>78</v>
      </c>
      <c r="J69" s="129">
        <f t="shared" si="3"/>
        <v>1526809.200637524</v>
      </c>
      <c r="K69" s="129">
        <f t="shared" si="5"/>
        <v>1526.8092006375241</v>
      </c>
    </row>
    <row r="70" spans="1:11">
      <c r="A70" t="s">
        <v>49</v>
      </c>
      <c r="B70" t="s">
        <v>158</v>
      </c>
      <c r="C70" t="s">
        <v>75</v>
      </c>
      <c r="D70" t="s">
        <v>83</v>
      </c>
      <c r="E70" t="s">
        <v>84</v>
      </c>
      <c r="F70" s="104">
        <v>1801634.9144045955</v>
      </c>
      <c r="G70" s="123">
        <v>1741640.1946942308</v>
      </c>
      <c r="H70" s="83">
        <f t="shared" si="4"/>
        <v>3.3300153782927638E-2</v>
      </c>
      <c r="I70" s="126" t="s">
        <v>78</v>
      </c>
      <c r="J70" s="129">
        <f t="shared" si="3"/>
        <v>1526809.200637524</v>
      </c>
      <c r="K70" s="129">
        <f t="shared" si="5"/>
        <v>1526.8092006375241</v>
      </c>
    </row>
    <row r="71" spans="1:11">
      <c r="A71" t="s">
        <v>49</v>
      </c>
      <c r="B71" t="s">
        <v>136</v>
      </c>
      <c r="C71" t="s">
        <v>75</v>
      </c>
      <c r="D71" t="s">
        <v>83</v>
      </c>
      <c r="E71" t="s">
        <v>84</v>
      </c>
      <c r="F71" s="104">
        <v>1801634.9144045955</v>
      </c>
      <c r="G71" s="123">
        <v>1741640.1946942308</v>
      </c>
      <c r="H71" s="83">
        <f t="shared" si="4"/>
        <v>3.3300153782927638E-2</v>
      </c>
      <c r="I71" s="126" t="s">
        <v>78</v>
      </c>
      <c r="J71" s="129">
        <f t="shared" si="3"/>
        <v>1526809.200637524</v>
      </c>
      <c r="K71" s="129">
        <f t="shared" si="5"/>
        <v>1526.8092006375241</v>
      </c>
    </row>
    <row r="72" spans="1:11">
      <c r="A72" t="s">
        <v>49</v>
      </c>
      <c r="B72" t="s">
        <v>151</v>
      </c>
      <c r="C72" t="s">
        <v>75</v>
      </c>
      <c r="D72" t="s">
        <v>83</v>
      </c>
      <c r="E72" t="s">
        <v>84</v>
      </c>
      <c r="F72" s="104">
        <v>1801634.9144045955</v>
      </c>
      <c r="G72" s="123">
        <v>1741640.1946942308</v>
      </c>
      <c r="H72" s="83">
        <f t="shared" si="4"/>
        <v>3.3300153782927638E-2</v>
      </c>
      <c r="I72" s="126" t="s">
        <v>78</v>
      </c>
      <c r="J72" s="129">
        <f t="shared" si="3"/>
        <v>1526809.200637524</v>
      </c>
      <c r="K72" s="129">
        <f t="shared" si="5"/>
        <v>1526.8092006375241</v>
      </c>
    </row>
    <row r="73" spans="1:11">
      <c r="A73" t="s">
        <v>49</v>
      </c>
      <c r="B73" t="s">
        <v>155</v>
      </c>
      <c r="C73" t="s">
        <v>75</v>
      </c>
      <c r="D73" t="s">
        <v>83</v>
      </c>
      <c r="E73" t="s">
        <v>84</v>
      </c>
      <c r="F73" s="104">
        <v>1801634.9144045955</v>
      </c>
      <c r="G73" s="123">
        <v>1741640.1946942308</v>
      </c>
      <c r="H73" s="83">
        <f t="shared" si="4"/>
        <v>3.3300153782927638E-2</v>
      </c>
      <c r="I73" s="126" t="s">
        <v>78</v>
      </c>
      <c r="J73" s="129">
        <f t="shared" si="3"/>
        <v>1526809.200637524</v>
      </c>
      <c r="K73" s="129">
        <f t="shared" si="5"/>
        <v>1526.8092006375241</v>
      </c>
    </row>
    <row r="74" spans="1:11">
      <c r="A74" t="s">
        <v>49</v>
      </c>
      <c r="B74" t="s">
        <v>140</v>
      </c>
      <c r="C74" t="s">
        <v>75</v>
      </c>
      <c r="D74" t="s">
        <v>83</v>
      </c>
      <c r="E74" t="s">
        <v>84</v>
      </c>
      <c r="F74" s="104">
        <v>1801634.9144045955</v>
      </c>
      <c r="G74" s="123">
        <v>1741640.1946942308</v>
      </c>
      <c r="H74" s="83">
        <f t="shared" si="4"/>
        <v>3.3300153782927638E-2</v>
      </c>
      <c r="I74" s="126" t="s">
        <v>78</v>
      </c>
      <c r="J74" s="129">
        <f t="shared" si="3"/>
        <v>1526809.200637524</v>
      </c>
      <c r="K74" s="129">
        <f t="shared" si="5"/>
        <v>1526.8092006375241</v>
      </c>
    </row>
    <row r="75" spans="1:11">
      <c r="A75" t="s">
        <v>49</v>
      </c>
      <c r="B75" t="s">
        <v>180</v>
      </c>
      <c r="C75" t="s">
        <v>75</v>
      </c>
      <c r="D75" t="s">
        <v>83</v>
      </c>
      <c r="E75" t="s">
        <v>84</v>
      </c>
      <c r="F75" s="104">
        <v>1801634.9144045955</v>
      </c>
      <c r="G75" s="123">
        <v>1741640.1946942308</v>
      </c>
      <c r="H75" s="83">
        <f t="shared" si="4"/>
        <v>3.3300153782927638E-2</v>
      </c>
      <c r="I75" s="126" t="s">
        <v>78</v>
      </c>
      <c r="J75" s="129">
        <f t="shared" si="3"/>
        <v>1526809.200637524</v>
      </c>
      <c r="K75" s="129">
        <f t="shared" si="5"/>
        <v>1526.8092006375241</v>
      </c>
    </row>
    <row r="76" spans="1:11">
      <c r="A76" t="s">
        <v>49</v>
      </c>
      <c r="B76" t="s">
        <v>141</v>
      </c>
      <c r="C76" t="s">
        <v>75</v>
      </c>
      <c r="D76" t="s">
        <v>83</v>
      </c>
      <c r="E76" t="s">
        <v>84</v>
      </c>
      <c r="F76" s="104">
        <v>1801634.9144045955</v>
      </c>
      <c r="G76" s="123">
        <v>1741640.1946942308</v>
      </c>
      <c r="H76" s="83">
        <f t="shared" si="4"/>
        <v>3.3300153782927638E-2</v>
      </c>
      <c r="I76" s="126" t="s">
        <v>78</v>
      </c>
      <c r="J76" s="129">
        <f t="shared" si="3"/>
        <v>1526809.200637524</v>
      </c>
      <c r="K76" s="129">
        <f t="shared" si="5"/>
        <v>1526.8092006375241</v>
      </c>
    </row>
    <row r="77" spans="1:11">
      <c r="A77" t="s">
        <v>41</v>
      </c>
      <c r="B77" t="s">
        <v>712</v>
      </c>
      <c r="C77" t="s">
        <v>75</v>
      </c>
      <c r="D77" t="s">
        <v>83</v>
      </c>
      <c r="E77" t="s">
        <v>87</v>
      </c>
      <c r="F77" s="104">
        <v>1801634.9144045955</v>
      </c>
      <c r="G77" s="123">
        <v>1741640.1946942308</v>
      </c>
      <c r="H77" s="83">
        <f t="shared" si="4"/>
        <v>3.3300153782927638E-2</v>
      </c>
      <c r="I77" s="126" t="s">
        <v>78</v>
      </c>
      <c r="J77" s="129">
        <f t="shared" si="3"/>
        <v>1526809.200637524</v>
      </c>
      <c r="K77" s="129">
        <f t="shared" si="5"/>
        <v>1526.8092006375241</v>
      </c>
    </row>
    <row r="78" spans="1:11">
      <c r="A78" t="s">
        <v>41</v>
      </c>
      <c r="B78" t="s">
        <v>123</v>
      </c>
      <c r="C78" t="s">
        <v>75</v>
      </c>
      <c r="D78" t="s">
        <v>83</v>
      </c>
      <c r="E78" t="s">
        <v>87</v>
      </c>
      <c r="F78" s="104">
        <v>1801634.9144045955</v>
      </c>
      <c r="G78" s="123">
        <v>1741640.1946942308</v>
      </c>
      <c r="H78" s="83">
        <f t="shared" si="4"/>
        <v>3.3300153782927638E-2</v>
      </c>
      <c r="I78" s="126" t="s">
        <v>78</v>
      </c>
      <c r="J78" s="129">
        <f t="shared" si="3"/>
        <v>1526809.200637524</v>
      </c>
      <c r="K78" s="129">
        <f t="shared" si="5"/>
        <v>1526.8092006375241</v>
      </c>
    </row>
    <row r="79" spans="1:11">
      <c r="A79" t="s">
        <v>41</v>
      </c>
      <c r="B79" t="s">
        <v>124</v>
      </c>
      <c r="C79" t="s">
        <v>75</v>
      </c>
      <c r="D79" t="s">
        <v>83</v>
      </c>
      <c r="E79" t="s">
        <v>87</v>
      </c>
      <c r="F79" s="104">
        <v>1801634.9144045955</v>
      </c>
      <c r="G79" s="123">
        <v>1741640.1946942308</v>
      </c>
      <c r="H79" s="83">
        <f t="shared" si="4"/>
        <v>3.3300153782927638E-2</v>
      </c>
      <c r="I79" s="126" t="s">
        <v>78</v>
      </c>
      <c r="J79" s="129">
        <f t="shared" si="3"/>
        <v>1526809.200637524</v>
      </c>
      <c r="K79" s="129">
        <f t="shared" si="5"/>
        <v>1526.8092006375241</v>
      </c>
    </row>
    <row r="80" spans="1:11">
      <c r="A80" t="s">
        <v>41</v>
      </c>
      <c r="B80" t="s">
        <v>125</v>
      </c>
      <c r="C80" t="s">
        <v>75</v>
      </c>
      <c r="D80" t="s">
        <v>83</v>
      </c>
      <c r="E80" t="s">
        <v>87</v>
      </c>
      <c r="F80" s="104">
        <v>1801634.9144045955</v>
      </c>
      <c r="G80" s="123">
        <v>1741640.1946942308</v>
      </c>
      <c r="H80" s="83">
        <f t="shared" si="4"/>
        <v>3.3300153782927638E-2</v>
      </c>
      <c r="I80" s="126" t="s">
        <v>78</v>
      </c>
      <c r="J80" s="129">
        <f t="shared" si="3"/>
        <v>1526809.200637524</v>
      </c>
      <c r="K80" s="129">
        <f t="shared" si="5"/>
        <v>1526.8092006375241</v>
      </c>
    </row>
    <row r="81" spans="1:12">
      <c r="A81" t="s">
        <v>41</v>
      </c>
      <c r="B81" t="s">
        <v>126</v>
      </c>
      <c r="C81" t="s">
        <v>75</v>
      </c>
      <c r="D81" t="s">
        <v>83</v>
      </c>
      <c r="E81" t="s">
        <v>87</v>
      </c>
      <c r="F81" s="104">
        <v>1801634.9144045955</v>
      </c>
      <c r="G81" s="123">
        <v>1741640.1946942308</v>
      </c>
      <c r="H81" s="83">
        <f t="shared" si="4"/>
        <v>3.3300153782927638E-2</v>
      </c>
      <c r="I81" s="126" t="s">
        <v>78</v>
      </c>
      <c r="J81" s="129">
        <f t="shared" si="3"/>
        <v>1526809.200637524</v>
      </c>
      <c r="K81" s="129">
        <f t="shared" si="5"/>
        <v>1526.8092006375241</v>
      </c>
      <c r="L81" s="104"/>
    </row>
    <row r="82" spans="1:12">
      <c r="A82" t="s">
        <v>41</v>
      </c>
      <c r="B82" t="s">
        <v>127</v>
      </c>
      <c r="C82" t="s">
        <v>75</v>
      </c>
      <c r="D82" t="s">
        <v>83</v>
      </c>
      <c r="E82" t="s">
        <v>87</v>
      </c>
      <c r="F82" s="104">
        <v>1801634.9144045955</v>
      </c>
      <c r="G82" s="123">
        <v>1741640.1946942308</v>
      </c>
      <c r="H82" s="83">
        <f t="shared" si="4"/>
        <v>3.3300153782927638E-2</v>
      </c>
      <c r="I82" s="126" t="s">
        <v>78</v>
      </c>
      <c r="J82" s="129">
        <f t="shared" si="3"/>
        <v>1526809.200637524</v>
      </c>
      <c r="K82" s="129">
        <f t="shared" si="5"/>
        <v>1526.8092006375241</v>
      </c>
    </row>
    <row r="83" spans="1:12">
      <c r="A83" t="s">
        <v>41</v>
      </c>
      <c r="B83" t="s">
        <v>128</v>
      </c>
      <c r="C83" t="s">
        <v>75</v>
      </c>
      <c r="D83" t="s">
        <v>83</v>
      </c>
      <c r="E83" t="s">
        <v>87</v>
      </c>
      <c r="F83" s="104">
        <v>1801634.9144045955</v>
      </c>
      <c r="G83" s="123">
        <v>1741640.1946942308</v>
      </c>
      <c r="H83" s="83">
        <f t="shared" si="4"/>
        <v>3.3300153782927638E-2</v>
      </c>
      <c r="I83" s="126" t="s">
        <v>78</v>
      </c>
      <c r="J83" s="129">
        <f t="shared" si="3"/>
        <v>1526809.200637524</v>
      </c>
      <c r="K83" s="129">
        <f t="shared" si="5"/>
        <v>1526.8092006375241</v>
      </c>
    </row>
    <row r="84" spans="1:12">
      <c r="A84" t="s">
        <v>43</v>
      </c>
      <c r="B84" t="s">
        <v>713</v>
      </c>
      <c r="C84" t="s">
        <v>75</v>
      </c>
      <c r="D84" t="s">
        <v>76</v>
      </c>
      <c r="E84" t="s">
        <v>79</v>
      </c>
      <c r="F84" s="104">
        <v>1072280.0830201879</v>
      </c>
      <c r="G84" s="123">
        <v>1741640.1946942308</v>
      </c>
      <c r="H84" s="83">
        <f t="shared" si="4"/>
        <v>-0.62423999314500067</v>
      </c>
      <c r="I84" s="126" t="s">
        <v>78</v>
      </c>
      <c r="J84" s="129">
        <f t="shared" si="3"/>
        <v>908711.90568408929</v>
      </c>
      <c r="K84" s="129">
        <f t="shared" si="5"/>
        <v>908.71190568408929</v>
      </c>
    </row>
    <row r="85" spans="1:12">
      <c r="A85" t="s">
        <v>43</v>
      </c>
      <c r="B85" t="s">
        <v>165</v>
      </c>
      <c r="C85" t="s">
        <v>75</v>
      </c>
      <c r="D85" t="s">
        <v>76</v>
      </c>
      <c r="E85" t="s">
        <v>79</v>
      </c>
      <c r="F85" s="104">
        <v>1072280.0830201879</v>
      </c>
      <c r="G85" s="123">
        <v>1741640.1946942308</v>
      </c>
      <c r="H85" s="83">
        <f t="shared" ref="H85:H116" si="6">(F85-G85)/F85</f>
        <v>-0.62423999314500067</v>
      </c>
      <c r="I85" s="126" t="s">
        <v>78</v>
      </c>
      <c r="J85" s="129">
        <f t="shared" si="3"/>
        <v>908711.90568408929</v>
      </c>
      <c r="K85" s="129">
        <f t="shared" si="5"/>
        <v>908.71190568408929</v>
      </c>
    </row>
    <row r="86" spans="1:12">
      <c r="A86" t="s">
        <v>43</v>
      </c>
      <c r="B86" t="s">
        <v>166</v>
      </c>
      <c r="C86" t="s">
        <v>75</v>
      </c>
      <c r="D86" t="s">
        <v>76</v>
      </c>
      <c r="E86" t="s">
        <v>79</v>
      </c>
      <c r="F86" s="104">
        <v>1072280.0830201879</v>
      </c>
      <c r="G86" s="123">
        <v>973079.40952142864</v>
      </c>
      <c r="H86" s="83">
        <f t="shared" si="6"/>
        <v>9.2513770487418087E-2</v>
      </c>
      <c r="I86" s="126" t="s">
        <v>78</v>
      </c>
      <c r="J86" s="129">
        <f t="shared" ref="J86:J124" si="7">F86*0.8474576</f>
        <v>908711.90568408929</v>
      </c>
      <c r="K86" s="129">
        <f t="shared" si="5"/>
        <v>908.71190568408929</v>
      </c>
    </row>
    <row r="87" spans="1:12">
      <c r="A87" t="s">
        <v>43</v>
      </c>
      <c r="B87" t="s">
        <v>167</v>
      </c>
      <c r="C87" t="s">
        <v>75</v>
      </c>
      <c r="D87" t="s">
        <v>76</v>
      </c>
      <c r="E87" t="s">
        <v>79</v>
      </c>
      <c r="F87" s="104">
        <v>1072280.0830201879</v>
      </c>
      <c r="G87" s="123">
        <v>973079.40952142864</v>
      </c>
      <c r="H87" s="83">
        <f t="shared" si="6"/>
        <v>9.2513770487418087E-2</v>
      </c>
      <c r="I87" s="126" t="s">
        <v>78</v>
      </c>
      <c r="J87" s="129">
        <f t="shared" si="7"/>
        <v>908711.90568408929</v>
      </c>
      <c r="K87" s="129">
        <f t="shared" si="5"/>
        <v>908.71190568408929</v>
      </c>
    </row>
    <row r="88" spans="1:12">
      <c r="A88" t="s">
        <v>43</v>
      </c>
      <c r="B88" t="s">
        <v>168</v>
      </c>
      <c r="C88" t="s">
        <v>75</v>
      </c>
      <c r="D88" t="s">
        <v>76</v>
      </c>
      <c r="E88" t="s">
        <v>79</v>
      </c>
      <c r="F88" s="104">
        <v>1072280.0830201879</v>
      </c>
      <c r="G88" s="123">
        <v>973079.40952142864</v>
      </c>
      <c r="H88" s="83">
        <f t="shared" si="6"/>
        <v>9.2513770487418087E-2</v>
      </c>
      <c r="I88" s="126" t="s">
        <v>78</v>
      </c>
      <c r="J88" s="129">
        <f t="shared" si="7"/>
        <v>908711.90568408929</v>
      </c>
      <c r="K88" s="129">
        <f t="shared" si="5"/>
        <v>908.71190568408929</v>
      </c>
    </row>
    <row r="89" spans="1:12">
      <c r="A89" t="s">
        <v>43</v>
      </c>
      <c r="B89" t="s">
        <v>169</v>
      </c>
      <c r="C89" t="s">
        <v>75</v>
      </c>
      <c r="D89" t="s">
        <v>76</v>
      </c>
      <c r="E89" t="s">
        <v>79</v>
      </c>
      <c r="F89" s="104">
        <v>1072280.0830201879</v>
      </c>
      <c r="G89" s="123">
        <v>973079.40952142864</v>
      </c>
      <c r="H89" s="83">
        <f t="shared" si="6"/>
        <v>9.2513770487418087E-2</v>
      </c>
      <c r="I89" s="126" t="s">
        <v>78</v>
      </c>
      <c r="J89" s="129">
        <f t="shared" si="7"/>
        <v>908711.90568408929</v>
      </c>
      <c r="K89" s="129">
        <f t="shared" si="5"/>
        <v>908.71190568408929</v>
      </c>
    </row>
    <row r="90" spans="1:12">
      <c r="A90" t="s">
        <v>43</v>
      </c>
      <c r="B90" t="s">
        <v>170</v>
      </c>
      <c r="C90" t="s">
        <v>75</v>
      </c>
      <c r="D90" t="s">
        <v>76</v>
      </c>
      <c r="E90" t="s">
        <v>79</v>
      </c>
      <c r="F90" s="104">
        <v>1072280.0830201879</v>
      </c>
      <c r="G90" s="123">
        <v>973079.40952142864</v>
      </c>
      <c r="H90" s="83">
        <f t="shared" si="6"/>
        <v>9.2513770487418087E-2</v>
      </c>
      <c r="I90" s="126" t="s">
        <v>78</v>
      </c>
      <c r="J90" s="129">
        <f t="shared" si="7"/>
        <v>908711.90568408929</v>
      </c>
      <c r="K90" s="129">
        <f t="shared" si="5"/>
        <v>908.71190568408929</v>
      </c>
    </row>
    <row r="91" spans="1:12">
      <c r="A91" t="s">
        <v>45</v>
      </c>
      <c r="B91" t="s">
        <v>149</v>
      </c>
      <c r="C91" t="s">
        <v>75</v>
      </c>
      <c r="D91" t="s">
        <v>76</v>
      </c>
      <c r="E91" t="s">
        <v>77</v>
      </c>
      <c r="F91" s="104">
        <v>1072280.0830201879</v>
      </c>
      <c r="G91" s="123">
        <v>973079.40952142864</v>
      </c>
      <c r="H91" s="83">
        <f t="shared" si="6"/>
        <v>9.2513770487418087E-2</v>
      </c>
      <c r="I91" s="126" t="s">
        <v>78</v>
      </c>
      <c r="J91" s="129">
        <f t="shared" si="7"/>
        <v>908711.90568408929</v>
      </c>
      <c r="K91" s="129">
        <f t="shared" si="5"/>
        <v>908.71190568408929</v>
      </c>
    </row>
    <row r="92" spans="1:12">
      <c r="A92" t="s">
        <v>45</v>
      </c>
      <c r="B92" t="s">
        <v>114</v>
      </c>
      <c r="C92" t="s">
        <v>75</v>
      </c>
      <c r="D92" t="s">
        <v>76</v>
      </c>
      <c r="E92" t="s">
        <v>77</v>
      </c>
      <c r="F92" s="104">
        <v>1072280.0830201879</v>
      </c>
      <c r="G92" s="123">
        <v>973079.40952142864</v>
      </c>
      <c r="H92" s="83">
        <f t="shared" si="6"/>
        <v>9.2513770487418087E-2</v>
      </c>
      <c r="I92" s="126" t="s">
        <v>78</v>
      </c>
      <c r="J92" s="129">
        <f t="shared" si="7"/>
        <v>908711.90568408929</v>
      </c>
      <c r="K92" s="129">
        <f t="shared" si="5"/>
        <v>908.71190568408929</v>
      </c>
    </row>
    <row r="93" spans="1:12">
      <c r="A93" t="s">
        <v>45</v>
      </c>
      <c r="B93" t="s">
        <v>150</v>
      </c>
      <c r="C93" t="s">
        <v>75</v>
      </c>
      <c r="D93" t="s">
        <v>76</v>
      </c>
      <c r="E93" t="s">
        <v>77</v>
      </c>
      <c r="F93" s="104">
        <v>1072280.0830201879</v>
      </c>
      <c r="G93" s="123">
        <v>973079.40952142864</v>
      </c>
      <c r="H93" s="83">
        <f t="shared" si="6"/>
        <v>9.2513770487418087E-2</v>
      </c>
      <c r="I93" s="126" t="s">
        <v>78</v>
      </c>
      <c r="J93" s="129">
        <f t="shared" si="7"/>
        <v>908711.90568408929</v>
      </c>
      <c r="K93" s="129">
        <f t="shared" si="5"/>
        <v>908.71190568408929</v>
      </c>
    </row>
    <row r="94" spans="1:12">
      <c r="A94" t="s">
        <v>45</v>
      </c>
      <c r="B94" t="s">
        <v>152</v>
      </c>
      <c r="C94" t="s">
        <v>75</v>
      </c>
      <c r="D94" t="s">
        <v>76</v>
      </c>
      <c r="E94" t="s">
        <v>77</v>
      </c>
      <c r="F94" s="104">
        <v>1072280.0830201879</v>
      </c>
      <c r="G94" s="123">
        <v>973079.40952142864</v>
      </c>
      <c r="H94" s="83">
        <f t="shared" si="6"/>
        <v>9.2513770487418087E-2</v>
      </c>
      <c r="I94" s="126" t="s">
        <v>78</v>
      </c>
      <c r="J94" s="129">
        <f t="shared" si="7"/>
        <v>908711.90568408929</v>
      </c>
      <c r="K94" s="129">
        <f t="shared" si="5"/>
        <v>908.71190568408929</v>
      </c>
    </row>
    <row r="95" spans="1:12">
      <c r="A95" t="s">
        <v>45</v>
      </c>
      <c r="B95" t="s">
        <v>714</v>
      </c>
      <c r="C95" t="s">
        <v>75</v>
      </c>
      <c r="D95" t="s">
        <v>76</v>
      </c>
      <c r="E95" t="s">
        <v>77</v>
      </c>
      <c r="F95" s="104">
        <v>1072280.0830201879</v>
      </c>
      <c r="G95" s="123">
        <v>973079.40952142864</v>
      </c>
      <c r="H95" s="83">
        <f t="shared" si="6"/>
        <v>9.2513770487418087E-2</v>
      </c>
      <c r="I95" s="126" t="s">
        <v>78</v>
      </c>
      <c r="J95" s="129">
        <f t="shared" si="7"/>
        <v>908711.90568408929</v>
      </c>
      <c r="K95" s="129">
        <f t="shared" si="5"/>
        <v>908.71190568408929</v>
      </c>
    </row>
    <row r="96" spans="1:12">
      <c r="A96" t="s">
        <v>45</v>
      </c>
      <c r="B96" t="s">
        <v>715</v>
      </c>
      <c r="C96" t="s">
        <v>75</v>
      </c>
      <c r="D96" t="s">
        <v>76</v>
      </c>
      <c r="E96" t="s">
        <v>77</v>
      </c>
      <c r="F96" s="104">
        <v>1072280.0830201879</v>
      </c>
      <c r="G96" s="123">
        <v>973079.40952142864</v>
      </c>
      <c r="H96" s="83">
        <f t="shared" si="6"/>
        <v>9.2513770487418087E-2</v>
      </c>
      <c r="I96" s="126" t="s">
        <v>78</v>
      </c>
      <c r="J96" s="129">
        <f t="shared" si="7"/>
        <v>908711.90568408929</v>
      </c>
      <c r="K96" s="129">
        <f t="shared" si="5"/>
        <v>908.71190568408929</v>
      </c>
    </row>
    <row r="97" spans="1:13">
      <c r="A97" t="s">
        <v>47</v>
      </c>
      <c r="B97" t="s">
        <v>175</v>
      </c>
      <c r="C97" t="s">
        <v>75</v>
      </c>
      <c r="D97" t="s">
        <v>76</v>
      </c>
      <c r="E97" t="s">
        <v>82</v>
      </c>
      <c r="F97" s="104">
        <v>1072280.0830201879</v>
      </c>
      <c r="G97" s="123">
        <v>973079.40952142864</v>
      </c>
      <c r="H97" s="83">
        <f t="shared" si="6"/>
        <v>9.2513770487418087E-2</v>
      </c>
      <c r="I97" s="126" t="s">
        <v>78</v>
      </c>
      <c r="J97" s="129">
        <f t="shared" si="7"/>
        <v>908711.90568408929</v>
      </c>
      <c r="K97" s="129">
        <f t="shared" si="5"/>
        <v>908.71190568408929</v>
      </c>
    </row>
    <row r="98" spans="1:13">
      <c r="A98" t="s">
        <v>47</v>
      </c>
      <c r="B98" t="s">
        <v>716</v>
      </c>
      <c r="C98" t="s">
        <v>75</v>
      </c>
      <c r="D98" t="s">
        <v>76</v>
      </c>
      <c r="E98" t="s">
        <v>82</v>
      </c>
      <c r="F98" s="104">
        <v>1072280.0830201879</v>
      </c>
      <c r="G98" s="123">
        <v>973079.40952142864</v>
      </c>
      <c r="H98" s="83">
        <f t="shared" si="6"/>
        <v>9.2513770487418087E-2</v>
      </c>
      <c r="I98" s="126" t="s">
        <v>78</v>
      </c>
      <c r="J98" s="129">
        <f t="shared" si="7"/>
        <v>908711.90568408929</v>
      </c>
      <c r="K98" s="129">
        <f t="shared" si="5"/>
        <v>908.71190568408929</v>
      </c>
    </row>
    <row r="99" spans="1:13">
      <c r="A99" t="s">
        <v>47</v>
      </c>
      <c r="B99" t="s">
        <v>717</v>
      </c>
      <c r="C99" t="s">
        <v>75</v>
      </c>
      <c r="D99" t="s">
        <v>76</v>
      </c>
      <c r="E99" t="s">
        <v>82</v>
      </c>
      <c r="F99" s="104">
        <v>1072280.0830201879</v>
      </c>
      <c r="G99" s="123">
        <v>973079.40952142864</v>
      </c>
      <c r="H99" s="83">
        <f t="shared" si="6"/>
        <v>9.2513770487418087E-2</v>
      </c>
      <c r="I99" s="126" t="s">
        <v>78</v>
      </c>
      <c r="J99" s="129">
        <f t="shared" si="7"/>
        <v>908711.90568408929</v>
      </c>
      <c r="K99" s="129">
        <f t="shared" si="5"/>
        <v>908.71190568408929</v>
      </c>
      <c r="M99" s="130"/>
    </row>
    <row r="100" spans="1:13">
      <c r="A100" t="s">
        <v>47</v>
      </c>
      <c r="B100" t="s">
        <v>176</v>
      </c>
      <c r="C100" t="s">
        <v>75</v>
      </c>
      <c r="D100" t="s">
        <v>76</v>
      </c>
      <c r="E100" t="s">
        <v>82</v>
      </c>
      <c r="F100" s="104">
        <v>1072280.0830201879</v>
      </c>
      <c r="G100" s="123">
        <v>973079.40952142864</v>
      </c>
      <c r="H100" s="83">
        <f t="shared" si="6"/>
        <v>9.2513770487418087E-2</v>
      </c>
      <c r="I100" s="126" t="s">
        <v>78</v>
      </c>
      <c r="J100" s="129">
        <f t="shared" si="7"/>
        <v>908711.90568408929</v>
      </c>
      <c r="K100" s="129">
        <f t="shared" si="5"/>
        <v>908.71190568408929</v>
      </c>
      <c r="M100" s="129"/>
    </row>
    <row r="101" spans="1:13">
      <c r="A101" t="s">
        <v>47</v>
      </c>
      <c r="B101" t="s">
        <v>177</v>
      </c>
      <c r="C101" t="s">
        <v>75</v>
      </c>
      <c r="D101" t="s">
        <v>76</v>
      </c>
      <c r="E101" t="s">
        <v>82</v>
      </c>
      <c r="F101" s="104">
        <v>1072280.0830201879</v>
      </c>
      <c r="G101" s="123">
        <v>973079.40952142864</v>
      </c>
      <c r="H101" s="83">
        <f t="shared" si="6"/>
        <v>9.2513770487418087E-2</v>
      </c>
      <c r="I101" s="126" t="s">
        <v>78</v>
      </c>
      <c r="J101" s="129">
        <f t="shared" si="7"/>
        <v>908711.90568408929</v>
      </c>
      <c r="K101" s="129">
        <f t="shared" si="5"/>
        <v>908.71190568408929</v>
      </c>
    </row>
    <row r="102" spans="1:13">
      <c r="A102" t="s">
        <v>47</v>
      </c>
      <c r="B102" t="s">
        <v>178</v>
      </c>
      <c r="C102" t="s">
        <v>75</v>
      </c>
      <c r="D102" t="s">
        <v>76</v>
      </c>
      <c r="E102" t="s">
        <v>82</v>
      </c>
      <c r="F102" s="104">
        <v>1072280.0830201879</v>
      </c>
      <c r="G102" s="123">
        <v>973079.40952142864</v>
      </c>
      <c r="H102" s="83">
        <f t="shared" si="6"/>
        <v>9.2513770487418087E-2</v>
      </c>
      <c r="I102" s="126" t="s">
        <v>78</v>
      </c>
      <c r="J102" s="129">
        <f t="shared" si="7"/>
        <v>908711.90568408929</v>
      </c>
      <c r="K102" s="129">
        <f t="shared" si="5"/>
        <v>908.71190568408929</v>
      </c>
    </row>
    <row r="103" spans="1:13">
      <c r="A103" t="s">
        <v>47</v>
      </c>
      <c r="B103" t="s">
        <v>179</v>
      </c>
      <c r="C103" t="s">
        <v>75</v>
      </c>
      <c r="D103" t="s">
        <v>76</v>
      </c>
      <c r="E103" t="s">
        <v>82</v>
      </c>
      <c r="F103" s="104">
        <v>1072280.0830201879</v>
      </c>
      <c r="G103" s="123">
        <v>973079.40952142864</v>
      </c>
      <c r="H103" s="83">
        <f t="shared" si="6"/>
        <v>9.2513770487418087E-2</v>
      </c>
      <c r="I103" s="126" t="s">
        <v>78</v>
      </c>
      <c r="J103" s="129">
        <f t="shared" si="7"/>
        <v>908711.90568408929</v>
      </c>
      <c r="K103" s="129">
        <f t="shared" si="5"/>
        <v>908.71190568408929</v>
      </c>
    </row>
    <row r="104" spans="1:13">
      <c r="A104" t="s">
        <v>137</v>
      </c>
      <c r="B104" t="s">
        <v>159</v>
      </c>
      <c r="C104" t="s">
        <v>75</v>
      </c>
      <c r="D104" t="s">
        <v>76</v>
      </c>
      <c r="E104" t="s">
        <v>81</v>
      </c>
      <c r="F104" s="104">
        <v>1072280.0830201879</v>
      </c>
      <c r="G104" s="123">
        <v>973079.40952142864</v>
      </c>
      <c r="H104" s="83">
        <f t="shared" si="6"/>
        <v>9.2513770487418087E-2</v>
      </c>
      <c r="I104" s="126" t="s">
        <v>78</v>
      </c>
      <c r="J104" s="129">
        <f t="shared" si="7"/>
        <v>908711.90568408929</v>
      </c>
      <c r="K104" s="129">
        <f t="shared" si="5"/>
        <v>908.71190568408929</v>
      </c>
    </row>
    <row r="105" spans="1:13">
      <c r="A105" t="s">
        <v>137</v>
      </c>
      <c r="B105" t="s">
        <v>160</v>
      </c>
      <c r="C105" t="s">
        <v>75</v>
      </c>
      <c r="D105" t="s">
        <v>76</v>
      </c>
      <c r="E105" t="s">
        <v>81</v>
      </c>
      <c r="F105" s="104">
        <v>1072280.0830201879</v>
      </c>
      <c r="G105" s="123">
        <v>973079.40952142864</v>
      </c>
      <c r="H105" s="83">
        <f t="shared" si="6"/>
        <v>9.2513770487418087E-2</v>
      </c>
      <c r="I105" s="126" t="s">
        <v>78</v>
      </c>
      <c r="J105" s="129">
        <f t="shared" si="7"/>
        <v>908711.90568408929</v>
      </c>
      <c r="K105" s="129">
        <f t="shared" si="5"/>
        <v>908.71190568408929</v>
      </c>
    </row>
    <row r="106" spans="1:13">
      <c r="A106" t="s">
        <v>137</v>
      </c>
      <c r="B106" t="s">
        <v>161</v>
      </c>
      <c r="C106" t="s">
        <v>75</v>
      </c>
      <c r="D106" t="s">
        <v>76</v>
      </c>
      <c r="E106" t="s">
        <v>81</v>
      </c>
      <c r="F106" s="104">
        <v>1072280.0830201879</v>
      </c>
      <c r="G106" s="123">
        <v>973079.40952142864</v>
      </c>
      <c r="H106" s="83">
        <f t="shared" si="6"/>
        <v>9.2513770487418087E-2</v>
      </c>
      <c r="I106" s="126" t="s">
        <v>78</v>
      </c>
      <c r="J106" s="129">
        <f t="shared" si="7"/>
        <v>908711.90568408929</v>
      </c>
      <c r="K106" s="129">
        <f t="shared" si="5"/>
        <v>908.71190568408929</v>
      </c>
    </row>
    <row r="107" spans="1:13">
      <c r="A107" t="s">
        <v>137</v>
      </c>
      <c r="B107" t="s">
        <v>162</v>
      </c>
      <c r="C107" t="s">
        <v>75</v>
      </c>
      <c r="D107" t="s">
        <v>76</v>
      </c>
      <c r="E107" t="s">
        <v>81</v>
      </c>
      <c r="F107" s="104">
        <v>1072280.0830201879</v>
      </c>
      <c r="G107" s="123">
        <v>973079.40952142864</v>
      </c>
      <c r="H107" s="83">
        <f t="shared" si="6"/>
        <v>9.2513770487418087E-2</v>
      </c>
      <c r="I107" s="126" t="s">
        <v>78</v>
      </c>
      <c r="J107" s="129">
        <f t="shared" si="7"/>
        <v>908711.90568408929</v>
      </c>
      <c r="K107" s="129">
        <f t="shared" si="5"/>
        <v>908.71190568408929</v>
      </c>
    </row>
    <row r="108" spans="1:13">
      <c r="A108" t="s">
        <v>137</v>
      </c>
      <c r="B108" t="s">
        <v>163</v>
      </c>
      <c r="C108" t="s">
        <v>75</v>
      </c>
      <c r="D108" t="s">
        <v>76</v>
      </c>
      <c r="E108" t="s">
        <v>81</v>
      </c>
      <c r="F108" s="104">
        <v>1072280.0830201879</v>
      </c>
      <c r="G108" s="123">
        <v>973079.40952142864</v>
      </c>
      <c r="H108" s="83">
        <f t="shared" si="6"/>
        <v>9.2513770487418087E-2</v>
      </c>
      <c r="I108" s="126" t="s">
        <v>78</v>
      </c>
      <c r="J108" s="129">
        <f t="shared" si="7"/>
        <v>908711.90568408929</v>
      </c>
      <c r="K108" s="129">
        <f t="shared" si="5"/>
        <v>908.71190568408929</v>
      </c>
    </row>
    <row r="109" spans="1:13">
      <c r="A109" t="s">
        <v>137</v>
      </c>
      <c r="B109" t="s">
        <v>164</v>
      </c>
      <c r="C109" t="s">
        <v>75</v>
      </c>
      <c r="D109" t="s">
        <v>76</v>
      </c>
      <c r="E109" t="s">
        <v>81</v>
      </c>
      <c r="F109" s="104">
        <v>1072280.0830201879</v>
      </c>
      <c r="G109" s="123">
        <v>973079.40952142864</v>
      </c>
      <c r="H109" s="83">
        <f t="shared" si="6"/>
        <v>9.2513770487418087E-2</v>
      </c>
      <c r="I109" s="126" t="s">
        <v>78</v>
      </c>
      <c r="J109" s="129">
        <f t="shared" si="7"/>
        <v>908711.90568408929</v>
      </c>
      <c r="K109" s="129">
        <f t="shared" si="5"/>
        <v>908.71190568408929</v>
      </c>
    </row>
    <row r="110" spans="1:13">
      <c r="A110" t="s">
        <v>137</v>
      </c>
      <c r="B110" t="s">
        <v>718</v>
      </c>
      <c r="C110" t="s">
        <v>75</v>
      </c>
      <c r="D110" t="s">
        <v>76</v>
      </c>
      <c r="E110" t="s">
        <v>81</v>
      </c>
      <c r="F110" s="104">
        <v>1072280.0830201879</v>
      </c>
      <c r="G110" s="123">
        <v>973079.40952142864</v>
      </c>
      <c r="H110" s="83">
        <f t="shared" si="6"/>
        <v>9.2513770487418087E-2</v>
      </c>
      <c r="I110" s="126" t="s">
        <v>78</v>
      </c>
      <c r="J110" s="129">
        <f t="shared" si="7"/>
        <v>908711.90568408929</v>
      </c>
      <c r="K110" s="129">
        <f t="shared" si="5"/>
        <v>908.71190568408929</v>
      </c>
    </row>
    <row r="111" spans="1:13">
      <c r="A111" t="s">
        <v>26</v>
      </c>
      <c r="B111" t="s">
        <v>115</v>
      </c>
      <c r="C111" t="s">
        <v>75</v>
      </c>
      <c r="D111" t="s">
        <v>76</v>
      </c>
      <c r="E111" t="s">
        <v>153</v>
      </c>
      <c r="F111" s="104">
        <v>1072280.0830201879</v>
      </c>
      <c r="G111" s="123">
        <v>973079.40952142864</v>
      </c>
      <c r="H111" s="83">
        <f t="shared" si="6"/>
        <v>9.2513770487418087E-2</v>
      </c>
      <c r="I111" s="126" t="s">
        <v>78</v>
      </c>
      <c r="J111" s="129">
        <f t="shared" si="7"/>
        <v>908711.90568408929</v>
      </c>
      <c r="K111" s="129">
        <f t="shared" si="5"/>
        <v>908.71190568408929</v>
      </c>
    </row>
    <row r="112" spans="1:13">
      <c r="A112" t="s">
        <v>26</v>
      </c>
      <c r="B112" t="s">
        <v>154</v>
      </c>
      <c r="C112" t="s">
        <v>75</v>
      </c>
      <c r="D112" t="s">
        <v>76</v>
      </c>
      <c r="E112" t="s">
        <v>153</v>
      </c>
      <c r="F112" s="104">
        <v>1072280.0830201879</v>
      </c>
      <c r="G112" s="123">
        <v>973079.40952142864</v>
      </c>
      <c r="H112" s="83">
        <f t="shared" si="6"/>
        <v>9.2513770487418087E-2</v>
      </c>
      <c r="I112" s="126" t="s">
        <v>78</v>
      </c>
      <c r="J112" s="129">
        <f t="shared" si="7"/>
        <v>908711.90568408929</v>
      </c>
      <c r="K112" s="129">
        <f t="shared" si="5"/>
        <v>908.71190568408929</v>
      </c>
    </row>
    <row r="113" spans="1:11">
      <c r="A113" t="s">
        <v>26</v>
      </c>
      <c r="B113" t="s">
        <v>719</v>
      </c>
      <c r="C113" t="s">
        <v>75</v>
      </c>
      <c r="D113" t="s">
        <v>76</v>
      </c>
      <c r="E113" t="s">
        <v>153</v>
      </c>
      <c r="F113" s="104">
        <v>1072280.0830201879</v>
      </c>
      <c r="G113" s="123">
        <v>973079.40952142864</v>
      </c>
      <c r="H113" s="83">
        <f t="shared" si="6"/>
        <v>9.2513770487418087E-2</v>
      </c>
      <c r="I113" s="126" t="s">
        <v>78</v>
      </c>
      <c r="J113" s="129">
        <f t="shared" si="7"/>
        <v>908711.90568408929</v>
      </c>
      <c r="K113" s="129">
        <f t="shared" si="5"/>
        <v>908.71190568408929</v>
      </c>
    </row>
    <row r="114" spans="1:11">
      <c r="A114" t="s">
        <v>26</v>
      </c>
      <c r="B114" t="s">
        <v>118</v>
      </c>
      <c r="C114" t="s">
        <v>75</v>
      </c>
      <c r="D114" t="s">
        <v>76</v>
      </c>
      <c r="E114" t="s">
        <v>153</v>
      </c>
      <c r="F114" s="104">
        <v>1072280.0830201879</v>
      </c>
      <c r="G114" s="123">
        <v>973079.40952142864</v>
      </c>
      <c r="H114" s="83">
        <f t="shared" si="6"/>
        <v>9.2513770487418087E-2</v>
      </c>
      <c r="I114" s="126" t="s">
        <v>78</v>
      </c>
      <c r="J114" s="129">
        <f t="shared" si="7"/>
        <v>908711.90568408929</v>
      </c>
      <c r="K114" s="129">
        <f t="shared" si="5"/>
        <v>908.71190568408929</v>
      </c>
    </row>
    <row r="115" spans="1:11">
      <c r="A115" t="s">
        <v>26</v>
      </c>
      <c r="B115" t="s">
        <v>156</v>
      </c>
      <c r="C115" t="s">
        <v>75</v>
      </c>
      <c r="D115" t="s">
        <v>76</v>
      </c>
      <c r="E115" t="s">
        <v>153</v>
      </c>
      <c r="F115" s="104">
        <v>1072280.0830201879</v>
      </c>
      <c r="G115" s="123">
        <v>973079.40952142864</v>
      </c>
      <c r="H115" s="83">
        <f t="shared" si="6"/>
        <v>9.2513770487418087E-2</v>
      </c>
      <c r="I115" s="126" t="s">
        <v>78</v>
      </c>
      <c r="J115" s="129">
        <f t="shared" si="7"/>
        <v>908711.90568408929</v>
      </c>
      <c r="K115" s="129">
        <f t="shared" si="5"/>
        <v>908.71190568408929</v>
      </c>
    </row>
    <row r="116" spans="1:11">
      <c r="A116" t="s">
        <v>26</v>
      </c>
      <c r="B116" t="s">
        <v>157</v>
      </c>
      <c r="C116" t="s">
        <v>75</v>
      </c>
      <c r="D116" t="s">
        <v>76</v>
      </c>
      <c r="E116" t="s">
        <v>153</v>
      </c>
      <c r="F116" s="104">
        <v>1072280.0830201879</v>
      </c>
      <c r="G116" s="123">
        <v>973079.40952142864</v>
      </c>
      <c r="H116" s="83">
        <f t="shared" si="6"/>
        <v>9.2513770487418087E-2</v>
      </c>
      <c r="I116" s="126" t="s">
        <v>78</v>
      </c>
      <c r="J116" s="129">
        <f t="shared" si="7"/>
        <v>908711.90568408929</v>
      </c>
      <c r="K116" s="129">
        <f t="shared" si="5"/>
        <v>908.71190568408929</v>
      </c>
    </row>
    <row r="117" spans="1:11">
      <c r="A117" t="s">
        <v>26</v>
      </c>
      <c r="B117" t="s">
        <v>720</v>
      </c>
      <c r="C117" t="s">
        <v>75</v>
      </c>
      <c r="D117" t="s">
        <v>76</v>
      </c>
      <c r="E117" t="s">
        <v>153</v>
      </c>
      <c r="F117" s="104">
        <v>1072280.0830201879</v>
      </c>
      <c r="G117" s="123">
        <v>973079.40952142864</v>
      </c>
      <c r="H117" s="83">
        <f t="shared" ref="H117:H124" si="8">(F117-G117)/F117</f>
        <v>9.2513770487418087E-2</v>
      </c>
      <c r="I117" s="126" t="s">
        <v>78</v>
      </c>
      <c r="J117" s="129">
        <f t="shared" si="7"/>
        <v>908711.90568408929</v>
      </c>
      <c r="K117" s="129">
        <f t="shared" si="5"/>
        <v>908.71190568408929</v>
      </c>
    </row>
    <row r="118" spans="1:11">
      <c r="A118" t="s">
        <v>52</v>
      </c>
      <c r="B118" t="s">
        <v>171</v>
      </c>
      <c r="C118" t="s">
        <v>75</v>
      </c>
      <c r="D118" t="s">
        <v>76</v>
      </c>
      <c r="E118" t="s">
        <v>80</v>
      </c>
      <c r="F118" s="104">
        <v>1072280.0830201879</v>
      </c>
      <c r="G118" s="123">
        <v>973079.40952142864</v>
      </c>
      <c r="H118" s="83">
        <f t="shared" si="8"/>
        <v>9.2513770487418087E-2</v>
      </c>
      <c r="I118" s="126" t="s">
        <v>78</v>
      </c>
      <c r="J118" s="129">
        <f t="shared" si="7"/>
        <v>908711.90568408929</v>
      </c>
      <c r="K118" s="129">
        <f t="shared" si="5"/>
        <v>908.71190568408929</v>
      </c>
    </row>
    <row r="119" spans="1:11">
      <c r="A119" t="s">
        <v>52</v>
      </c>
      <c r="B119" t="s">
        <v>110</v>
      </c>
      <c r="C119" t="s">
        <v>75</v>
      </c>
      <c r="D119" t="s">
        <v>76</v>
      </c>
      <c r="E119" t="s">
        <v>80</v>
      </c>
      <c r="F119" s="104">
        <v>1072280.0830201879</v>
      </c>
      <c r="G119" s="123">
        <v>973079.40952142864</v>
      </c>
      <c r="H119" s="83">
        <f t="shared" si="8"/>
        <v>9.2513770487418087E-2</v>
      </c>
      <c r="I119" s="126" t="s">
        <v>78</v>
      </c>
      <c r="J119" s="129">
        <f t="shared" si="7"/>
        <v>908711.90568408929</v>
      </c>
      <c r="K119" s="129">
        <f t="shared" si="5"/>
        <v>908.71190568408929</v>
      </c>
    </row>
    <row r="120" spans="1:11">
      <c r="A120" t="s">
        <v>52</v>
      </c>
      <c r="B120" t="s">
        <v>172</v>
      </c>
      <c r="C120" t="s">
        <v>75</v>
      </c>
      <c r="D120" t="s">
        <v>76</v>
      </c>
      <c r="E120" t="s">
        <v>80</v>
      </c>
      <c r="F120" s="104">
        <v>1072280.0830201879</v>
      </c>
      <c r="G120" s="123">
        <v>973079.40952142864</v>
      </c>
      <c r="H120" s="83">
        <f t="shared" si="8"/>
        <v>9.2513770487418087E-2</v>
      </c>
      <c r="I120" s="126" t="s">
        <v>78</v>
      </c>
      <c r="J120" s="129">
        <f t="shared" si="7"/>
        <v>908711.90568408929</v>
      </c>
      <c r="K120" s="129">
        <f t="shared" si="5"/>
        <v>908.71190568408929</v>
      </c>
    </row>
    <row r="121" spans="1:11">
      <c r="A121" t="s">
        <v>52</v>
      </c>
      <c r="B121" t="s">
        <v>721</v>
      </c>
      <c r="C121" t="s">
        <v>75</v>
      </c>
      <c r="D121" t="s">
        <v>76</v>
      </c>
      <c r="E121" t="s">
        <v>80</v>
      </c>
      <c r="F121" s="104">
        <v>1072280.0830201879</v>
      </c>
      <c r="G121" s="123">
        <v>973079.40952142864</v>
      </c>
      <c r="H121" s="83">
        <f t="shared" si="8"/>
        <v>9.2513770487418087E-2</v>
      </c>
      <c r="I121" s="126" t="s">
        <v>78</v>
      </c>
      <c r="J121" s="129">
        <f t="shared" si="7"/>
        <v>908711.90568408929</v>
      </c>
      <c r="K121" s="129">
        <f t="shared" si="5"/>
        <v>908.71190568408929</v>
      </c>
    </row>
    <row r="122" spans="1:11">
      <c r="A122" t="s">
        <v>52</v>
      </c>
      <c r="B122" t="s">
        <v>173</v>
      </c>
      <c r="C122" t="s">
        <v>75</v>
      </c>
      <c r="D122" t="s">
        <v>76</v>
      </c>
      <c r="E122" t="s">
        <v>80</v>
      </c>
      <c r="F122" s="104">
        <v>1072280.0830201879</v>
      </c>
      <c r="G122" s="123">
        <v>973079.40952142864</v>
      </c>
      <c r="H122" s="83">
        <f t="shared" si="8"/>
        <v>9.2513770487418087E-2</v>
      </c>
      <c r="I122" s="126" t="s">
        <v>78</v>
      </c>
      <c r="J122" s="129">
        <f t="shared" si="7"/>
        <v>908711.90568408929</v>
      </c>
      <c r="K122" s="129">
        <f t="shared" si="5"/>
        <v>908.71190568408929</v>
      </c>
    </row>
    <row r="123" spans="1:11">
      <c r="A123" t="s">
        <v>52</v>
      </c>
      <c r="B123" t="s">
        <v>722</v>
      </c>
      <c r="C123" t="s">
        <v>75</v>
      </c>
      <c r="D123" t="s">
        <v>76</v>
      </c>
      <c r="E123" t="s">
        <v>80</v>
      </c>
      <c r="F123" s="104">
        <v>1072280.0830201879</v>
      </c>
      <c r="G123" s="123">
        <v>973079.40952142864</v>
      </c>
      <c r="H123" s="83">
        <f t="shared" si="8"/>
        <v>9.2513770487418087E-2</v>
      </c>
      <c r="I123" s="126" t="s">
        <v>78</v>
      </c>
      <c r="J123" s="129">
        <f t="shared" si="7"/>
        <v>908711.90568408929</v>
      </c>
      <c r="K123" s="129">
        <f t="shared" si="5"/>
        <v>908.71190568408929</v>
      </c>
    </row>
    <row r="124" spans="1:11">
      <c r="A124" t="s">
        <v>52</v>
      </c>
      <c r="B124" t="s">
        <v>174</v>
      </c>
      <c r="C124" t="s">
        <v>75</v>
      </c>
      <c r="D124" t="s">
        <v>76</v>
      </c>
      <c r="E124" t="s">
        <v>80</v>
      </c>
      <c r="F124" s="104">
        <v>1072280.0830201879</v>
      </c>
      <c r="G124" s="123">
        <v>973079.40952142864</v>
      </c>
      <c r="H124" s="83">
        <f t="shared" si="8"/>
        <v>9.2513770487418087E-2</v>
      </c>
      <c r="I124" s="126" t="s">
        <v>78</v>
      </c>
      <c r="J124" s="129">
        <f t="shared" si="7"/>
        <v>908711.90568408929</v>
      </c>
      <c r="K124" s="129">
        <f t="shared" si="5"/>
        <v>908.71190568408929</v>
      </c>
    </row>
    <row r="132" spans="9:11">
      <c r="I132" s="179"/>
    </row>
    <row r="135" spans="9:11">
      <c r="I135" s="180"/>
      <c r="J135" s="131"/>
      <c r="K135" s="131"/>
    </row>
  </sheetData>
  <autoFilter ref="A1:I124" xr:uid="{E8B56924-0278-403B-A99D-E6A741E79842}">
    <sortState xmlns:xlrd2="http://schemas.microsoft.com/office/spreadsheetml/2017/richdata2" ref="A2:F124">
      <sortCondition ref="D1"/>
    </sortState>
  </autoFilter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EF25-F4A8-4848-988A-43D28757BADA}">
  <sheetPr codeName="Sheet2"/>
  <dimension ref="A1:S14"/>
  <sheetViews>
    <sheetView workbookViewId="0">
      <selection activeCell="K2" sqref="K2"/>
    </sheetView>
  </sheetViews>
  <sheetFormatPr baseColWidth="10" defaultColWidth="8.83203125" defaultRowHeight="15"/>
  <cols>
    <col min="1" max="1" width="23" bestFit="1" customWidth="1"/>
    <col min="2" max="2" width="12.6640625" bestFit="1" customWidth="1"/>
    <col min="3" max="6" width="12.5" bestFit="1" customWidth="1"/>
    <col min="7" max="7" width="11.5" bestFit="1" customWidth="1"/>
    <col min="8" max="18" width="12.5" bestFit="1" customWidth="1"/>
    <col min="19" max="19" width="12.1640625" bestFit="1" customWidth="1"/>
  </cols>
  <sheetData>
    <row r="1" spans="1:19" ht="16">
      <c r="A1" s="110" t="s">
        <v>0</v>
      </c>
      <c r="B1" s="111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2" t="s">
        <v>7</v>
      </c>
      <c r="I1" s="112" t="s">
        <v>8</v>
      </c>
      <c r="J1" s="109"/>
      <c r="K1" s="113"/>
      <c r="L1" s="113"/>
      <c r="M1" s="113"/>
      <c r="N1" s="113"/>
      <c r="O1" s="113"/>
      <c r="P1" s="113"/>
      <c r="Q1" s="113"/>
      <c r="R1" s="113"/>
      <c r="S1" s="113"/>
    </row>
    <row r="2" spans="1:19">
      <c r="A2" s="114" t="s">
        <v>9</v>
      </c>
      <c r="B2" s="115">
        <v>114024403.0034</v>
      </c>
      <c r="C2" s="181">
        <v>0.20626</v>
      </c>
      <c r="D2" s="181">
        <v>0.25076500000000002</v>
      </c>
      <c r="E2" s="181">
        <v>0.26674700000000001</v>
      </c>
      <c r="F2" s="181">
        <v>0.27622799999999997</v>
      </c>
      <c r="G2" s="116">
        <v>0.25</v>
      </c>
      <c r="H2" s="116">
        <v>0.3</v>
      </c>
      <c r="I2" s="116">
        <v>0.45</v>
      </c>
      <c r="L2" s="133"/>
      <c r="M2" s="133"/>
    </row>
    <row r="3" spans="1:19">
      <c r="C3" s="118"/>
      <c r="D3" s="83"/>
      <c r="E3" s="117"/>
    </row>
    <row r="5" spans="1:19">
      <c r="A5" s="112" t="s">
        <v>10</v>
      </c>
      <c r="B5" s="112" t="s">
        <v>12</v>
      </c>
      <c r="C5" s="112" t="s">
        <v>2</v>
      </c>
      <c r="D5" s="112" t="s">
        <v>3</v>
      </c>
      <c r="E5" s="112" t="s">
        <v>4</v>
      </c>
      <c r="F5" s="112" t="s">
        <v>5</v>
      </c>
      <c r="G5" s="119" t="s">
        <v>13</v>
      </c>
      <c r="H5" s="119" t="s">
        <v>14</v>
      </c>
      <c r="I5" s="119" t="s">
        <v>15</v>
      </c>
      <c r="J5" s="119" t="s">
        <v>16</v>
      </c>
      <c r="K5" s="119" t="s">
        <v>17</v>
      </c>
      <c r="L5" s="119" t="s">
        <v>18</v>
      </c>
      <c r="M5" s="119" t="s">
        <v>19</v>
      </c>
      <c r="N5" s="119" t="s">
        <v>20</v>
      </c>
      <c r="O5" s="119" t="s">
        <v>21</v>
      </c>
      <c r="P5" s="119" t="s">
        <v>22</v>
      </c>
      <c r="Q5" s="119" t="s">
        <v>23</v>
      </c>
      <c r="R5" s="119" t="s">
        <v>24</v>
      </c>
    </row>
    <row r="6" spans="1:19">
      <c r="A6" s="120" t="s">
        <v>62</v>
      </c>
      <c r="B6" s="104">
        <v>596350.84070009389</v>
      </c>
      <c r="C6" s="121">
        <f t="shared" ref="C6:F8" si="0">$B6*C$2</f>
        <v>123003.32440280136</v>
      </c>
      <c r="D6" s="121">
        <f t="shared" si="0"/>
        <v>149543.91856815905</v>
      </c>
      <c r="E6" s="121">
        <f t="shared" si="0"/>
        <v>159074.79770422794</v>
      </c>
      <c r="F6" s="121">
        <f t="shared" si="0"/>
        <v>164728.80002490553</v>
      </c>
      <c r="G6" s="121">
        <f>$C6*$G$2</f>
        <v>30750.831100700339</v>
      </c>
      <c r="H6" s="121">
        <f t="shared" ref="H6:H8" si="1">C6*$H$2</f>
        <v>36900.997320840404</v>
      </c>
      <c r="I6" s="121">
        <f t="shared" ref="I6:I8" si="2">C6*$I$2</f>
        <v>55351.49598126061</v>
      </c>
      <c r="J6" s="121">
        <f>$D6*$G$2</f>
        <v>37385.979642039762</v>
      </c>
      <c r="K6" s="121">
        <f>$D6*$H$2</f>
        <v>44863.175570447711</v>
      </c>
      <c r="L6" s="121">
        <f>$D6*$I$2</f>
        <v>67294.763355671574</v>
      </c>
      <c r="M6" s="121">
        <f>$E6*$G$2</f>
        <v>39768.699426056985</v>
      </c>
      <c r="N6" s="121">
        <f>$E6*$H$2</f>
        <v>47722.439311268383</v>
      </c>
      <c r="O6" s="121">
        <f>$E6*$I$2</f>
        <v>71583.658966902571</v>
      </c>
      <c r="P6" s="121">
        <f>$F6*$G$2</f>
        <v>41182.200006226383</v>
      </c>
      <c r="Q6" s="121">
        <f>$F6*$H$2</f>
        <v>49418.640007471658</v>
      </c>
      <c r="R6" s="121">
        <f>$F6*$I$2</f>
        <v>74127.960011207499</v>
      </c>
    </row>
    <row r="7" spans="1:19">
      <c r="A7" s="120" t="s">
        <v>63</v>
      </c>
      <c r="B7" s="104">
        <v>1072280.0830201879</v>
      </c>
      <c r="C7" s="121">
        <f t="shared" si="0"/>
        <v>221168.48992374397</v>
      </c>
      <c r="D7" s="121">
        <f t="shared" si="0"/>
        <v>268890.31501855742</v>
      </c>
      <c r="E7" s="121">
        <f t="shared" si="0"/>
        <v>286027.49530538608</v>
      </c>
      <c r="F7" s="121">
        <f t="shared" si="0"/>
        <v>296193.78277250042</v>
      </c>
      <c r="G7" s="121">
        <f>$C7*$G$2</f>
        <v>55292.122480935992</v>
      </c>
      <c r="H7" s="121">
        <f t="shared" si="1"/>
        <v>66350.546977123187</v>
      </c>
      <c r="I7" s="121">
        <f t="shared" si="2"/>
        <v>99525.820465684781</v>
      </c>
      <c r="J7" s="121">
        <f>$D7*$G$2</f>
        <v>67222.578754639355</v>
      </c>
      <c r="K7" s="121">
        <f>$D7*$H$2</f>
        <v>80667.09450556722</v>
      </c>
      <c r="L7" s="121">
        <f>$D7*$I$2</f>
        <v>121000.64175835084</v>
      </c>
      <c r="M7" s="121">
        <f>$E7*$G$2</f>
        <v>71506.87382634652</v>
      </c>
      <c r="N7" s="121">
        <f>$E7*$H$2</f>
        <v>85808.248591615818</v>
      </c>
      <c r="O7" s="121">
        <f>$E7*$I$2</f>
        <v>128712.37288742374</v>
      </c>
      <c r="P7" s="121">
        <f>$F7*$G$2</f>
        <v>74048.445693125104</v>
      </c>
      <c r="Q7" s="121">
        <f>$F7*$H$2</f>
        <v>88858.134831750125</v>
      </c>
      <c r="R7" s="121">
        <f>$F7*$I$2</f>
        <v>133287.20224762519</v>
      </c>
    </row>
    <row r="8" spans="1:19">
      <c r="A8" s="120" t="s">
        <v>64</v>
      </c>
      <c r="B8" s="104">
        <v>1801634.9144045955</v>
      </c>
      <c r="C8" s="121">
        <f t="shared" si="0"/>
        <v>371605.21744509187</v>
      </c>
      <c r="D8" s="121">
        <f t="shared" si="0"/>
        <v>451786.97931066842</v>
      </c>
      <c r="E8" s="121">
        <f t="shared" si="0"/>
        <v>480580.70851268264</v>
      </c>
      <c r="F8" s="121">
        <f t="shared" si="0"/>
        <v>497662.00913615257</v>
      </c>
      <c r="G8" s="121">
        <f>$C8*$G$2</f>
        <v>92901.304361272967</v>
      </c>
      <c r="H8" s="121">
        <f t="shared" si="1"/>
        <v>111481.56523352755</v>
      </c>
      <c r="I8" s="121">
        <f t="shared" si="2"/>
        <v>167222.34785029135</v>
      </c>
      <c r="J8" s="121">
        <f>$D8*$G$2</f>
        <v>112946.74482766711</v>
      </c>
      <c r="K8" s="121">
        <f>$D8*$H$2</f>
        <v>135536.09379320053</v>
      </c>
      <c r="L8" s="121">
        <f>$D8*$I$2</f>
        <v>203304.14068980078</v>
      </c>
      <c r="M8" s="121">
        <f>$E8*$G$2</f>
        <v>120145.17712817066</v>
      </c>
      <c r="N8" s="121">
        <f>$E8*$H$2</f>
        <v>144174.2125538048</v>
      </c>
      <c r="O8" s="121">
        <f>$E8*$I$2</f>
        <v>216261.3188307072</v>
      </c>
      <c r="P8" s="121">
        <f>$F8*$G$2</f>
        <v>124415.50228403814</v>
      </c>
      <c r="Q8" s="121">
        <f>$F8*$H$2</f>
        <v>149298.60274084576</v>
      </c>
      <c r="R8" s="121">
        <f>$F8*$I$2</f>
        <v>223947.90411126867</v>
      </c>
    </row>
    <row r="10" spans="1:19">
      <c r="A10" s="120"/>
      <c r="B10" s="132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</row>
    <row r="11" spans="1:19">
      <c r="P11" s="104"/>
      <c r="Q11" s="104"/>
    </row>
    <row r="12" spans="1:19">
      <c r="P12" s="104"/>
      <c r="Q12" s="104"/>
    </row>
    <row r="14" spans="1:19">
      <c r="M14" s="80"/>
    </row>
  </sheetData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DF6B-7666-4894-BDDF-498AE00BFAEF}">
  <dimension ref="A1:L35"/>
  <sheetViews>
    <sheetView topLeftCell="H1" workbookViewId="0">
      <selection activeCell="H5" sqref="H5"/>
    </sheetView>
  </sheetViews>
  <sheetFormatPr baseColWidth="10" defaultColWidth="8.83203125" defaultRowHeight="15"/>
  <cols>
    <col min="1" max="1" width="13" hidden="1" customWidth="1"/>
    <col min="2" max="2" width="13.6640625" hidden="1" customWidth="1"/>
    <col min="3" max="3" width="16.5" hidden="1" customWidth="1"/>
    <col min="4" max="4" width="16.83203125" hidden="1" customWidth="1"/>
    <col min="5" max="5" width="14.5" hidden="1" customWidth="1"/>
    <col min="6" max="7" width="0" hidden="1" customWidth="1"/>
    <col min="8" max="8" width="28.1640625" bestFit="1" customWidth="1"/>
    <col min="9" max="9" width="21.83203125" bestFit="1" customWidth="1"/>
    <col min="10" max="10" width="22.5" customWidth="1"/>
    <col min="11" max="11" width="21.5" customWidth="1"/>
    <col min="12" max="12" width="18.83203125" customWidth="1"/>
  </cols>
  <sheetData>
    <row r="1" spans="2:12" ht="19">
      <c r="H1" s="191" t="s">
        <v>740</v>
      </c>
    </row>
    <row r="2" spans="2:12">
      <c r="B2" s="177">
        <v>19146087.696000002</v>
      </c>
      <c r="C2" s="178">
        <v>40700992.724999994</v>
      </c>
      <c r="D2" s="178">
        <v>46702241.685000002</v>
      </c>
      <c r="E2">
        <f>SUM(B2:D2)</f>
        <v>106549322.10600001</v>
      </c>
      <c r="H2" t="s">
        <v>240</v>
      </c>
      <c r="I2" s="84" t="s">
        <v>730</v>
      </c>
      <c r="J2" s="84" t="s">
        <v>729</v>
      </c>
      <c r="K2" s="84" t="s">
        <v>731</v>
      </c>
      <c r="L2" s="84" t="s">
        <v>732</v>
      </c>
    </row>
    <row r="3" spans="2:12">
      <c r="B3" s="133">
        <f>B2/$E$2</f>
        <v>0.17969225254152835</v>
      </c>
      <c r="C3" s="133">
        <f t="shared" ref="C3:D3" si="0">C2/$E$2</f>
        <v>0.38199203824599498</v>
      </c>
      <c r="D3" s="133">
        <f t="shared" si="0"/>
        <v>0.43831570921247659</v>
      </c>
      <c r="H3" s="84" t="s">
        <v>733</v>
      </c>
      <c r="I3" s="104">
        <v>19148880.205966316</v>
      </c>
      <c r="J3" s="104">
        <v>40706929.077618241</v>
      </c>
      <c r="K3" s="104">
        <v>46709053.33641544</v>
      </c>
      <c r="L3" s="131">
        <v>106564862.62</v>
      </c>
    </row>
    <row r="4" spans="2:12">
      <c r="H4" s="84" t="s">
        <v>736</v>
      </c>
      <c r="I4" s="104">
        <v>20489301.820383959</v>
      </c>
      <c r="J4" s="104">
        <v>43556414.113051519</v>
      </c>
      <c r="K4" s="104">
        <v>49978687.069964521</v>
      </c>
      <c r="L4" s="104">
        <f>SUM(I4:K4)</f>
        <v>114024403.0034</v>
      </c>
    </row>
    <row r="5" spans="2:12">
      <c r="H5" s="84" t="s">
        <v>734</v>
      </c>
      <c r="I5" s="104">
        <f>I3+(I3*0.09)</f>
        <v>20872279.424503285</v>
      </c>
      <c r="J5" s="104">
        <f>J3+(J3*0.08)</f>
        <v>43963483.403827697</v>
      </c>
      <c r="K5" s="104">
        <f>K3+(K3*0.08)</f>
        <v>50445777.603328675</v>
      </c>
      <c r="L5" s="104">
        <f>SUM(I5:K5)</f>
        <v>115281540.43165965</v>
      </c>
    </row>
    <row r="6" spans="2:12">
      <c r="B6" s="104">
        <f>$E$6*B3</f>
        <v>19148880.205966316</v>
      </c>
      <c r="C6" s="104">
        <f t="shared" ref="C6:D6" si="1">$E$6*C3</f>
        <v>40706929.077618241</v>
      </c>
      <c r="D6" s="104">
        <f t="shared" si="1"/>
        <v>46709053.33641544</v>
      </c>
      <c r="E6" s="131">
        <v>106564862.62</v>
      </c>
      <c r="H6" s="84" t="s">
        <v>735</v>
      </c>
      <c r="I6" s="104">
        <f>I5-I4</f>
        <v>382977.60411932692</v>
      </c>
      <c r="J6" s="104">
        <f t="shared" ref="J6:L6" si="2">J5-J4</f>
        <v>407069.29077617824</v>
      </c>
      <c r="K6" s="104">
        <f t="shared" si="2"/>
        <v>467090.5333641544</v>
      </c>
      <c r="L6" s="104">
        <f t="shared" si="2"/>
        <v>1257137.4282596558</v>
      </c>
    </row>
    <row r="7" spans="2:12">
      <c r="H7" s="84" t="s">
        <v>698</v>
      </c>
      <c r="I7" s="104">
        <v>596350.84070009389</v>
      </c>
      <c r="J7" s="104">
        <v>1072280.0830201879</v>
      </c>
      <c r="K7" s="104">
        <v>1801634.9144045955</v>
      </c>
    </row>
    <row r="8" spans="2:12">
      <c r="H8" s="84" t="s">
        <v>737</v>
      </c>
      <c r="I8" s="104">
        <v>572000</v>
      </c>
      <c r="J8" s="104">
        <v>993000</v>
      </c>
      <c r="K8" s="104">
        <v>1760000</v>
      </c>
    </row>
    <row r="9" spans="2:12">
      <c r="B9">
        <f>B2-B6</f>
        <v>-2792.509966313839</v>
      </c>
      <c r="C9">
        <f t="shared" ref="C9:D9" si="3">C2-C6</f>
        <v>-5936.3526182472706</v>
      </c>
      <c r="D9">
        <f t="shared" si="3"/>
        <v>-6811.6514154374599</v>
      </c>
      <c r="H9" s="84" t="s">
        <v>739</v>
      </c>
      <c r="I9" s="104">
        <f>I7-I8</f>
        <v>24350.84070009389</v>
      </c>
      <c r="J9" s="104">
        <f t="shared" ref="J9:K9" si="4">J7-J8</f>
        <v>79280.083020187914</v>
      </c>
      <c r="K9" s="104">
        <f t="shared" si="4"/>
        <v>41634.914404595504</v>
      </c>
      <c r="L9" s="131"/>
    </row>
    <row r="10" spans="2:12">
      <c r="B10">
        <f>B9/35</f>
        <v>-79.785999037538261</v>
      </c>
      <c r="C10">
        <f>C9/41</f>
        <v>-144.78908824993343</v>
      </c>
      <c r="D10">
        <f>D9/28</f>
        <v>-243.27326483705215</v>
      </c>
      <c r="H10" s="84" t="s">
        <v>738</v>
      </c>
      <c r="I10" s="105">
        <f>I9/I8</f>
        <v>4.2571399825338967E-2</v>
      </c>
      <c r="J10" s="105">
        <f t="shared" ref="J10:K10" si="5">J9/J8</f>
        <v>7.9838955710159032E-2</v>
      </c>
      <c r="K10" s="105">
        <f t="shared" si="5"/>
        <v>2.3656201366247444E-2</v>
      </c>
    </row>
    <row r="11" spans="2:12">
      <c r="C11" t="s">
        <v>697</v>
      </c>
    </row>
    <row r="14" spans="2:12">
      <c r="B14" t="s">
        <v>698</v>
      </c>
    </row>
    <row r="15" spans="2:12">
      <c r="B15" t="s">
        <v>262</v>
      </c>
      <c r="C15" t="s">
        <v>263</v>
      </c>
      <c r="D15" t="s">
        <v>264</v>
      </c>
    </row>
    <row r="16" spans="2:12">
      <c r="B16" s="104">
        <v>596350.84070009389</v>
      </c>
      <c r="C16" s="104">
        <v>1072280.0830201879</v>
      </c>
      <c r="D16" s="104">
        <v>1801634.9144045955</v>
      </c>
    </row>
    <row r="19" spans="1:5">
      <c r="B19" t="s">
        <v>727</v>
      </c>
    </row>
    <row r="20" spans="1:5">
      <c r="B20" s="104">
        <v>20489301.820383959</v>
      </c>
      <c r="C20" s="104">
        <v>43556414.113051519</v>
      </c>
      <c r="D20" s="104">
        <v>49978687.069964521</v>
      </c>
      <c r="E20" s="104">
        <v>114024403.0034</v>
      </c>
    </row>
    <row r="21" spans="1:5">
      <c r="A21" t="s">
        <v>723</v>
      </c>
      <c r="B21" s="104">
        <f>B20/35</f>
        <v>585408.62343954167</v>
      </c>
      <c r="C21" s="104">
        <f>C20/41</f>
        <v>1062351.563732964</v>
      </c>
      <c r="D21" s="104">
        <f>D20/28</f>
        <v>1784953.1096415899</v>
      </c>
    </row>
    <row r="22" spans="1:5">
      <c r="A22" t="s">
        <v>724</v>
      </c>
      <c r="B22" s="104">
        <f>B21*7</f>
        <v>4097860.3640767918</v>
      </c>
      <c r="C22" s="104">
        <f>C21*7</f>
        <v>7436460.9461307479</v>
      </c>
      <c r="D22" s="104">
        <f>D21*7</f>
        <v>12494671.76749113</v>
      </c>
    </row>
    <row r="23" spans="1:5">
      <c r="A23" t="s">
        <v>725</v>
      </c>
      <c r="C23" s="104">
        <f>C21*6</f>
        <v>6374109.3823977839</v>
      </c>
    </row>
    <row r="24" spans="1:5">
      <c r="A24" t="s">
        <v>261</v>
      </c>
      <c r="B24" s="104">
        <f>B22*5</f>
        <v>20489301.820383959</v>
      </c>
      <c r="C24" s="104">
        <f>(C22*5)+(C23)</f>
        <v>43556414.113051526</v>
      </c>
      <c r="D24" s="104">
        <f>D22*4</f>
        <v>49978687.069964521</v>
      </c>
    </row>
    <row r="25" spans="1:5">
      <c r="A25" t="s">
        <v>726</v>
      </c>
      <c r="B25" s="104">
        <f>B24-B20</f>
        <v>0</v>
      </c>
      <c r="C25" s="104">
        <f>C24-C20</f>
        <v>0</v>
      </c>
      <c r="D25" s="104">
        <f t="shared" ref="D25" si="6">D24-D20</f>
        <v>0</v>
      </c>
    </row>
    <row r="29" spans="1:5">
      <c r="D29" s="104">
        <f>D24*0.84</f>
        <v>41982097.138770193</v>
      </c>
    </row>
    <row r="32" spans="1:5">
      <c r="B32" s="82"/>
      <c r="C32" s="82"/>
      <c r="D32" s="82"/>
    </row>
    <row r="33" spans="2:4">
      <c r="B33" s="82"/>
      <c r="C33" s="82"/>
      <c r="D33" s="82"/>
    </row>
    <row r="34" spans="2:4">
      <c r="B34" s="82"/>
      <c r="C34" s="82"/>
      <c r="D34" s="82"/>
    </row>
    <row r="35" spans="2:4">
      <c r="B35" s="83"/>
      <c r="C35" s="83"/>
      <c r="D35" s="83"/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5F51-A0AD-4632-B460-881228432B1F}">
  <dimension ref="A1:D2"/>
  <sheetViews>
    <sheetView workbookViewId="0">
      <selection activeCell="I7" sqref="I7"/>
    </sheetView>
  </sheetViews>
  <sheetFormatPr baseColWidth="10" defaultColWidth="8.83203125" defaultRowHeight="15"/>
  <cols>
    <col min="1" max="1" width="19.1640625" customWidth="1"/>
    <col min="2" max="2" width="25" customWidth="1"/>
    <col min="3" max="3" width="28" customWidth="1"/>
    <col min="4" max="4" width="29.1640625" customWidth="1"/>
  </cols>
  <sheetData>
    <row r="1" spans="1:4">
      <c r="A1" s="11" t="s">
        <v>75</v>
      </c>
      <c r="B1" s="11" t="s">
        <v>88</v>
      </c>
      <c r="C1" s="11" t="s">
        <v>76</v>
      </c>
      <c r="D1" s="11" t="s">
        <v>83</v>
      </c>
    </row>
    <row r="2" spans="1:4">
      <c r="A2" s="104">
        <v>106564862.62462001</v>
      </c>
      <c r="B2" s="104">
        <v>19010299.840000004</v>
      </c>
      <c r="C2" s="104">
        <v>40974153.75</v>
      </c>
      <c r="D2" s="104">
        <v>46586927.508000001</v>
      </c>
    </row>
  </sheetData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A7AD-8BB8-462A-A73E-05AEC023400B}">
  <sheetPr codeName="Sheet6"/>
  <dimension ref="A1:P4"/>
  <sheetViews>
    <sheetView workbookViewId="0">
      <selection activeCell="G12" sqref="G12"/>
    </sheetView>
  </sheetViews>
  <sheetFormatPr baseColWidth="10" defaultColWidth="8.83203125" defaultRowHeight="15"/>
  <cols>
    <col min="1" max="1" width="14.1640625" customWidth="1"/>
    <col min="2" max="2" width="15.1640625" style="82" customWidth="1"/>
    <col min="3" max="3" width="15.5" style="89" customWidth="1"/>
    <col min="4" max="4" width="19.5" style="82" customWidth="1"/>
    <col min="5" max="5" width="13.5" style="83" hidden="1" customWidth="1"/>
    <col min="6" max="6" width="13.5" style="83" customWidth="1"/>
    <col min="7" max="7" width="19.5" style="82" customWidth="1"/>
    <col min="8" max="8" width="18" style="82" customWidth="1"/>
    <col min="9" max="9" width="22" style="82" customWidth="1"/>
    <col min="10" max="10" width="19.5" style="83" hidden="1" customWidth="1"/>
    <col min="11" max="11" width="14.5" hidden="1" customWidth="1"/>
    <col min="12" max="12" width="14.5" customWidth="1"/>
    <col min="13" max="13" width="14.5" style="83" customWidth="1"/>
    <col min="14" max="14" width="15.83203125" style="82" bestFit="1" customWidth="1"/>
    <col min="15" max="15" width="14.5" style="82" bestFit="1" customWidth="1"/>
    <col min="16" max="16" width="17" customWidth="1"/>
  </cols>
  <sheetData>
    <row r="1" spans="1:16" s="84" customFormat="1">
      <c r="A1" s="84" t="s">
        <v>67</v>
      </c>
      <c r="B1" s="86" t="s">
        <v>266</v>
      </c>
      <c r="C1" s="88" t="s">
        <v>694</v>
      </c>
      <c r="D1" s="175" t="s">
        <v>267</v>
      </c>
      <c r="E1" s="85" t="s">
        <v>268</v>
      </c>
      <c r="F1" s="176" t="s">
        <v>695</v>
      </c>
      <c r="G1" s="86" t="s">
        <v>696</v>
      </c>
      <c r="H1" s="86" t="s">
        <v>269</v>
      </c>
      <c r="I1" s="86" t="s">
        <v>270</v>
      </c>
      <c r="J1" s="85" t="s">
        <v>271</v>
      </c>
      <c r="K1" s="84" t="s">
        <v>272</v>
      </c>
      <c r="L1" s="84" t="s">
        <v>265</v>
      </c>
      <c r="M1" s="85" t="s">
        <v>268</v>
      </c>
      <c r="N1" s="86" t="s">
        <v>249</v>
      </c>
      <c r="O1" s="86" t="s">
        <v>273</v>
      </c>
      <c r="P1" s="84" t="s">
        <v>274</v>
      </c>
    </row>
    <row r="2" spans="1:16">
      <c r="A2" t="s">
        <v>262</v>
      </c>
      <c r="B2" s="87">
        <v>16977431</v>
      </c>
      <c r="C2" s="87">
        <f>(2187557*1.2)+(290125*1.3)+(293949*1.4)+14205798</f>
        <v>17619557.5</v>
      </c>
      <c r="D2" s="82">
        <f>C2-B2</f>
        <v>642126.5</v>
      </c>
      <c r="E2" s="83">
        <f>D2/B2</f>
        <v>3.7822359578430921E-2</v>
      </c>
      <c r="F2" s="83">
        <f>D2/B2</f>
        <v>3.7822359578430921E-2</v>
      </c>
      <c r="H2" s="82">
        <f>Calc!K5</f>
        <v>0</v>
      </c>
      <c r="I2" s="82">
        <f>H2/39</f>
        <v>0</v>
      </c>
      <c r="J2" s="83">
        <f>G2/B2</f>
        <v>0</v>
      </c>
      <c r="K2" s="82">
        <f>G2-D2</f>
        <v>-642126.5</v>
      </c>
      <c r="L2" s="82">
        <f>SUM(G2:H2)</f>
        <v>0</v>
      </c>
      <c r="M2" s="83">
        <f>L2/B2</f>
        <v>0</v>
      </c>
      <c r="N2" s="82">
        <f>L2/39</f>
        <v>0</v>
      </c>
      <c r="O2" s="82">
        <f>N2*6.5</f>
        <v>0</v>
      </c>
    </row>
    <row r="3" spans="1:16">
      <c r="A3" t="s">
        <v>263</v>
      </c>
      <c r="B3" s="87">
        <v>36425860</v>
      </c>
      <c r="C3" s="87">
        <f>(4536302*1.2)+(776583*1.3)+(696943*1.4)+30416032</f>
        <v>37844872.5</v>
      </c>
      <c r="D3" s="82">
        <f t="shared" ref="D3:D4" si="0">C3-B3</f>
        <v>1419012.5</v>
      </c>
      <c r="E3" s="83">
        <f>D3/B3</f>
        <v>3.895618387596065E-2</v>
      </c>
      <c r="F3" s="83">
        <f t="shared" ref="F3:F4" si="1">D3/B3</f>
        <v>3.895618387596065E-2</v>
      </c>
      <c r="H3" s="82">
        <f>Calc!K9</f>
        <v>0</v>
      </c>
      <c r="I3" s="82">
        <f>H3/42</f>
        <v>0</v>
      </c>
      <c r="J3" s="83">
        <f t="shared" ref="J3:J4" si="2">G3/B3</f>
        <v>0</v>
      </c>
      <c r="K3" s="82">
        <f t="shared" ref="K3:K4" si="3">G3-D3</f>
        <v>-1419012.5</v>
      </c>
      <c r="L3" s="82">
        <f t="shared" ref="L3:L4" si="4">SUM(G3:H3)</f>
        <v>0</v>
      </c>
      <c r="M3" s="83">
        <f t="shared" ref="M3:M4" si="5">L3/B3</f>
        <v>0</v>
      </c>
      <c r="N3" s="82">
        <f>L3/42</f>
        <v>0</v>
      </c>
      <c r="O3" s="82">
        <f>N3*7</f>
        <v>0</v>
      </c>
    </row>
    <row r="4" spans="1:16">
      <c r="A4" t="s">
        <v>264</v>
      </c>
      <c r="B4" s="87">
        <v>38447040</v>
      </c>
      <c r="C4" s="87">
        <f>(4851615*1.2)+(1859430*1.3)+(1725624*1.4)+30010370</f>
        <v>40665440.600000001</v>
      </c>
      <c r="D4" s="82">
        <f t="shared" si="0"/>
        <v>2218400.6000000015</v>
      </c>
      <c r="E4" s="83">
        <f>D4/B4</f>
        <v>5.7700166254671399E-2</v>
      </c>
      <c r="F4" s="83">
        <f t="shared" si="1"/>
        <v>5.7700166254671399E-2</v>
      </c>
      <c r="H4" s="82">
        <f>Calc!K13</f>
        <v>0</v>
      </c>
      <c r="I4" s="82">
        <f>H4/26</f>
        <v>0</v>
      </c>
      <c r="J4" s="83">
        <f t="shared" si="2"/>
        <v>0</v>
      </c>
      <c r="K4" s="82">
        <f t="shared" si="3"/>
        <v>-2218400.6000000015</v>
      </c>
      <c r="L4" s="82">
        <f t="shared" si="4"/>
        <v>0</v>
      </c>
      <c r="M4" s="83">
        <f t="shared" si="5"/>
        <v>0</v>
      </c>
      <c r="N4" s="82">
        <f>L4/26</f>
        <v>0</v>
      </c>
      <c r="O4" s="82">
        <f>N4*6</f>
        <v>0</v>
      </c>
    </row>
  </sheetData>
  <autoFilter ref="A1:P1" xr:uid="{D5CAA7AD-8BB8-462A-A73E-05AEC023400B}"/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DA9A-F6BE-44C5-A9B0-8DDB0BC40E2E}">
  <sheetPr codeName="Sheet5"/>
  <dimension ref="A1:S21"/>
  <sheetViews>
    <sheetView topLeftCell="F1" workbookViewId="0">
      <selection activeCell="J2" sqref="J2:J5"/>
    </sheetView>
  </sheetViews>
  <sheetFormatPr baseColWidth="10" defaultColWidth="8.83203125" defaultRowHeight="15"/>
  <cols>
    <col min="1" max="1" width="11.5" bestFit="1" customWidth="1"/>
    <col min="2" max="2" width="16.1640625" bestFit="1" customWidth="1"/>
    <col min="3" max="3" width="27.83203125" customWidth="1"/>
    <col min="4" max="4" width="18.5" hidden="1" customWidth="1"/>
    <col min="5" max="5" width="23.33203125" customWidth="1"/>
    <col min="6" max="6" width="20" customWidth="1"/>
    <col min="7" max="7" width="27.33203125" bestFit="1" customWidth="1"/>
    <col min="8" max="8" width="24.83203125" bestFit="1" customWidth="1"/>
    <col min="9" max="9" width="27.5" bestFit="1" customWidth="1"/>
    <col min="10" max="10" width="31.6640625" bestFit="1" customWidth="1"/>
    <col min="11" max="11" width="20.5" customWidth="1"/>
    <col min="12" max="12" width="15.83203125" bestFit="1" customWidth="1"/>
    <col min="13" max="13" width="16.5" customWidth="1"/>
    <col min="14" max="14" width="16.5" style="81" customWidth="1"/>
    <col min="15" max="16" width="15.5" customWidth="1"/>
    <col min="17" max="17" width="15.5" hidden="1" customWidth="1"/>
    <col min="18" max="19" width="15.5" customWidth="1"/>
  </cols>
  <sheetData>
    <row r="1" spans="1:19" ht="45">
      <c r="A1" s="65" t="s">
        <v>241</v>
      </c>
      <c r="B1" s="66" t="s">
        <v>66</v>
      </c>
      <c r="C1" s="65" t="s">
        <v>242</v>
      </c>
      <c r="D1" s="67" t="s">
        <v>243</v>
      </c>
      <c r="E1" s="68" t="s">
        <v>681</v>
      </c>
      <c r="F1" s="69" t="s">
        <v>244</v>
      </c>
      <c r="G1" s="67" t="s">
        <v>679</v>
      </c>
      <c r="H1" s="70" t="s">
        <v>245</v>
      </c>
      <c r="I1" s="67" t="s">
        <v>680</v>
      </c>
      <c r="J1" s="65" t="s">
        <v>246</v>
      </c>
      <c r="K1" s="71" t="s">
        <v>247</v>
      </c>
      <c r="L1" s="72" t="s">
        <v>248</v>
      </c>
      <c r="M1" s="72" t="s">
        <v>249</v>
      </c>
      <c r="N1" s="72" t="s">
        <v>250</v>
      </c>
      <c r="O1" s="72" t="s">
        <v>251</v>
      </c>
      <c r="P1" s="72" t="s">
        <v>252</v>
      </c>
      <c r="Q1" s="72" t="s">
        <v>253</v>
      </c>
      <c r="R1" s="72" t="s">
        <v>249</v>
      </c>
      <c r="S1" s="72" t="s">
        <v>254</v>
      </c>
    </row>
    <row r="2" spans="1:19">
      <c r="A2" s="203" t="s">
        <v>198</v>
      </c>
      <c r="B2" s="204" t="s">
        <v>255</v>
      </c>
      <c r="C2" s="209" t="s">
        <v>256</v>
      </c>
      <c r="D2" s="205">
        <v>-2.8715527904026761E-2</v>
      </c>
      <c r="E2" s="206">
        <f>F2*E14</f>
        <v>19693406.544504002</v>
      </c>
      <c r="F2" s="205">
        <v>0.18479999999999999</v>
      </c>
      <c r="G2" s="205">
        <v>0.18479999999999999</v>
      </c>
      <c r="H2" s="212">
        <v>596350.84070009389</v>
      </c>
      <c r="I2" s="209">
        <v>35</v>
      </c>
      <c r="J2" s="213">
        <f>H2*I2</f>
        <v>20872279.424503285</v>
      </c>
      <c r="K2" s="200">
        <f>J2-E2</f>
        <v>1178872.8799992837</v>
      </c>
      <c r="L2" s="197">
        <f>K2/E2</f>
        <v>5.9861298111894272E-2</v>
      </c>
      <c r="M2" s="200">
        <f>K2/I2</f>
        <v>33682.082285693818</v>
      </c>
      <c r="N2" s="214">
        <f>M2/H2</f>
        <v>5.6480313243379175E-2</v>
      </c>
      <c r="O2" s="200">
        <f>H2-M2</f>
        <v>562668.75841440004</v>
      </c>
      <c r="P2" s="206">
        <v>277792</v>
      </c>
      <c r="Q2" s="200">
        <f>P2+K2</f>
        <v>1456664.8799992837</v>
      </c>
      <c r="R2" s="195">
        <f>Q2/I2</f>
        <v>41618.996571408105</v>
      </c>
      <c r="S2" s="196">
        <f>R2/H2</f>
        <v>6.9789448980316582E-2</v>
      </c>
    </row>
    <row r="3" spans="1:19">
      <c r="A3" s="203"/>
      <c r="B3" s="204"/>
      <c r="C3" s="201"/>
      <c r="D3" s="205" t="e">
        <v>#N/A</v>
      </c>
      <c r="E3" s="206"/>
      <c r="F3" s="205"/>
      <c r="G3" s="205"/>
      <c r="H3" s="201"/>
      <c r="I3" s="201"/>
      <c r="J3" s="201"/>
      <c r="K3" s="210"/>
      <c r="L3" s="198"/>
      <c r="M3" s="201"/>
      <c r="N3" s="198"/>
      <c r="O3" s="201"/>
      <c r="P3" s="206"/>
      <c r="Q3" s="215"/>
      <c r="R3" s="195"/>
      <c r="S3" s="196"/>
    </row>
    <row r="4" spans="1:19">
      <c r="A4" s="203"/>
      <c r="B4" s="204"/>
      <c r="C4" s="201"/>
      <c r="D4" s="205"/>
      <c r="E4" s="206"/>
      <c r="F4" s="205"/>
      <c r="G4" s="205"/>
      <c r="H4" s="201"/>
      <c r="I4" s="201"/>
      <c r="J4" s="201"/>
      <c r="K4" s="210"/>
      <c r="L4" s="198"/>
      <c r="M4" s="201"/>
      <c r="N4" s="198"/>
      <c r="O4" s="201"/>
      <c r="P4" s="206"/>
      <c r="Q4" s="215"/>
      <c r="R4" s="195"/>
      <c r="S4" s="196"/>
    </row>
    <row r="5" spans="1:19">
      <c r="A5" s="203"/>
      <c r="B5" s="204"/>
      <c r="C5" s="202"/>
      <c r="D5" s="205" t="e">
        <v>#N/A</v>
      </c>
      <c r="E5" s="206"/>
      <c r="F5" s="205"/>
      <c r="G5" s="205"/>
      <c r="H5" s="202"/>
      <c r="I5" s="202"/>
      <c r="J5" s="202"/>
      <c r="K5" s="211"/>
      <c r="L5" s="199"/>
      <c r="M5" s="202"/>
      <c r="N5" s="199"/>
      <c r="O5" s="202"/>
      <c r="P5" s="206"/>
      <c r="Q5" s="216"/>
      <c r="R5" s="195"/>
      <c r="S5" s="196"/>
    </row>
    <row r="6" spans="1:19">
      <c r="A6" s="203"/>
      <c r="B6" s="207" t="s">
        <v>257</v>
      </c>
      <c r="C6" s="209" t="s">
        <v>258</v>
      </c>
      <c r="D6" s="208">
        <v>-1.141274643540191E-2</v>
      </c>
      <c r="E6" s="200">
        <f>F6*E14</f>
        <v>42264096.512718</v>
      </c>
      <c r="F6" s="208">
        <v>0.39660000000000001</v>
      </c>
      <c r="G6" s="208">
        <v>0.39660000000000001</v>
      </c>
      <c r="H6" s="212">
        <v>1072280.0830201879</v>
      </c>
      <c r="I6" s="209">
        <v>41</v>
      </c>
      <c r="J6" s="213">
        <f t="shared" ref="J6:J10" si="0">H6*I6</f>
        <v>43963483.403827704</v>
      </c>
      <c r="K6" s="200">
        <f>J6-E6</f>
        <v>1699386.891109705</v>
      </c>
      <c r="L6" s="197">
        <f>K6/E6</f>
        <v>4.0208759475038817E-2</v>
      </c>
      <c r="M6" s="200">
        <f>K6/I6</f>
        <v>41448.46075877329</v>
      </c>
      <c r="N6" s="214">
        <f>M6/H6</f>
        <v>3.8654509596065055E-2</v>
      </c>
      <c r="O6" s="200">
        <f>H6-M6</f>
        <v>1030831.6222614147</v>
      </c>
      <c r="P6" s="206">
        <v>1395245</v>
      </c>
      <c r="Q6" s="200">
        <f>P6+K6</f>
        <v>3094631.891109705</v>
      </c>
      <c r="R6" s="195">
        <f>Q6/I6</f>
        <v>75478.826612431832</v>
      </c>
      <c r="S6" s="196">
        <f>R6/H6</f>
        <v>7.0390962032828117E-2</v>
      </c>
    </row>
    <row r="7" spans="1:19">
      <c r="A7" s="203"/>
      <c r="B7" s="201"/>
      <c r="C7" s="201"/>
      <c r="D7" s="201"/>
      <c r="E7" s="201"/>
      <c r="F7" s="201"/>
      <c r="G7" s="201"/>
      <c r="H7" s="201"/>
      <c r="I7" s="201"/>
      <c r="J7" s="201"/>
      <c r="K7" s="210"/>
      <c r="L7" s="198"/>
      <c r="M7" s="201"/>
      <c r="N7" s="198"/>
      <c r="O7" s="201"/>
      <c r="P7" s="206"/>
      <c r="Q7" s="215"/>
      <c r="R7" s="195"/>
      <c r="S7" s="196"/>
    </row>
    <row r="8" spans="1:19">
      <c r="A8" s="203"/>
      <c r="B8" s="201"/>
      <c r="C8" s="201"/>
      <c r="D8" s="201"/>
      <c r="E8" s="201"/>
      <c r="F8" s="201"/>
      <c r="G8" s="201"/>
      <c r="H8" s="201"/>
      <c r="I8" s="201"/>
      <c r="J8" s="201"/>
      <c r="K8" s="210"/>
      <c r="L8" s="198"/>
      <c r="M8" s="201"/>
      <c r="N8" s="198"/>
      <c r="O8" s="201"/>
      <c r="P8" s="206"/>
      <c r="Q8" s="215"/>
      <c r="R8" s="195"/>
      <c r="S8" s="196"/>
    </row>
    <row r="9" spans="1:19">
      <c r="A9" s="203"/>
      <c r="B9" s="202"/>
      <c r="C9" s="202"/>
      <c r="D9" s="202"/>
      <c r="E9" s="202"/>
      <c r="F9" s="202"/>
      <c r="G9" s="202"/>
      <c r="H9" s="202"/>
      <c r="I9" s="202"/>
      <c r="J9" s="202"/>
      <c r="K9" s="211"/>
      <c r="L9" s="199"/>
      <c r="M9" s="202"/>
      <c r="N9" s="199"/>
      <c r="O9" s="202"/>
      <c r="P9" s="206"/>
      <c r="Q9" s="216"/>
      <c r="R9" s="195"/>
      <c r="S9" s="196"/>
    </row>
    <row r="10" spans="1:19">
      <c r="A10" s="203"/>
      <c r="B10" s="207" t="s">
        <v>259</v>
      </c>
      <c r="C10" s="209" t="s">
        <v>260</v>
      </c>
      <c r="D10" s="209"/>
      <c r="E10" s="200">
        <f>F10*E14</f>
        <v>44608549.672778003</v>
      </c>
      <c r="F10" s="208">
        <v>0.41860000000000003</v>
      </c>
      <c r="G10" s="208">
        <v>0.41860000000000003</v>
      </c>
      <c r="H10" s="212">
        <v>1801634.9144045955</v>
      </c>
      <c r="I10" s="209">
        <v>28</v>
      </c>
      <c r="J10" s="213">
        <f t="shared" si="0"/>
        <v>50445777.603328675</v>
      </c>
      <c r="K10" s="200">
        <f>J10-E10</f>
        <v>5837227.9305506721</v>
      </c>
      <c r="L10" s="197">
        <f>K10/E10</f>
        <v>0.13085446564322606</v>
      </c>
      <c r="M10" s="200">
        <f>K10/I10</f>
        <v>208472.42609109543</v>
      </c>
      <c r="N10" s="214">
        <f>M10/H10</f>
        <v>0.11571291410057483</v>
      </c>
      <c r="O10" s="200">
        <f>H10-M10</f>
        <v>1593162.4883135001</v>
      </c>
      <c r="P10" s="206">
        <v>1007652</v>
      </c>
      <c r="Q10" s="200">
        <f>P10+K10</f>
        <v>6844879.9305506721</v>
      </c>
      <c r="R10" s="195">
        <f>Q10/I10</f>
        <v>244459.99751966685</v>
      </c>
      <c r="S10" s="196">
        <f>R10/H10</f>
        <v>0.13568786637355773</v>
      </c>
    </row>
    <row r="11" spans="1:19">
      <c r="A11" s="203"/>
      <c r="B11" s="201"/>
      <c r="C11" s="201"/>
      <c r="D11" s="201"/>
      <c r="E11" s="201"/>
      <c r="F11" s="201"/>
      <c r="G11" s="201"/>
      <c r="H11" s="201"/>
      <c r="I11" s="201"/>
      <c r="J11" s="201"/>
      <c r="K11" s="210"/>
      <c r="L11" s="198"/>
      <c r="M11" s="201"/>
      <c r="N11" s="198"/>
      <c r="O11" s="201"/>
      <c r="P11" s="206"/>
      <c r="Q11" s="215"/>
      <c r="R11" s="195"/>
      <c r="S11" s="196"/>
    </row>
    <row r="12" spans="1:19">
      <c r="A12" s="203"/>
      <c r="B12" s="201"/>
      <c r="C12" s="201"/>
      <c r="D12" s="201"/>
      <c r="E12" s="201"/>
      <c r="F12" s="201"/>
      <c r="G12" s="201"/>
      <c r="H12" s="201"/>
      <c r="I12" s="201"/>
      <c r="J12" s="201"/>
      <c r="K12" s="210"/>
      <c r="L12" s="198"/>
      <c r="M12" s="201"/>
      <c r="N12" s="198"/>
      <c r="O12" s="201"/>
      <c r="P12" s="206"/>
      <c r="Q12" s="215"/>
      <c r="R12" s="195"/>
      <c r="S12" s="196"/>
    </row>
    <row r="13" spans="1:19">
      <c r="A13" s="203"/>
      <c r="B13" s="202"/>
      <c r="C13" s="202"/>
      <c r="D13" s="202"/>
      <c r="E13" s="202"/>
      <c r="F13" s="202"/>
      <c r="G13" s="202"/>
      <c r="H13" s="202"/>
      <c r="I13" s="202"/>
      <c r="J13" s="202"/>
      <c r="K13" s="211"/>
      <c r="L13" s="199"/>
      <c r="M13" s="202"/>
      <c r="N13" s="199"/>
      <c r="O13" s="202"/>
      <c r="P13" s="206"/>
      <c r="Q13" s="216"/>
      <c r="R13" s="195"/>
      <c r="S13" s="196"/>
    </row>
    <row r="14" spans="1:19">
      <c r="A14" s="203"/>
      <c r="B14" s="73" t="s">
        <v>261</v>
      </c>
      <c r="C14" s="74"/>
      <c r="D14" s="75"/>
      <c r="E14" s="76">
        <v>106566052.73</v>
      </c>
      <c r="F14" s="75">
        <f>SUM(F2:F13)</f>
        <v>1</v>
      </c>
      <c r="G14" s="74"/>
      <c r="H14" s="74"/>
      <c r="I14" s="77">
        <f>SUM(I5,I9,I13)</f>
        <v>0</v>
      </c>
      <c r="J14" s="78">
        <f>SUM(J2:J13)</f>
        <v>115281540.43165967</v>
      </c>
      <c r="K14" s="79">
        <f>SUM(K2:K13)</f>
        <v>8715487.7016596608</v>
      </c>
      <c r="L14" s="108">
        <f>K14/E14</f>
        <v>8.1784841217132892E-2</v>
      </c>
      <c r="M14" s="75"/>
      <c r="N14" s="75"/>
      <c r="O14" s="75"/>
      <c r="P14" s="90">
        <f>SUM(P2,P6,P10)</f>
        <v>2680689</v>
      </c>
      <c r="Q14" s="90">
        <f>SUM(Q2,Q6,Q10)</f>
        <v>11396176.701659661</v>
      </c>
      <c r="R14" s="90"/>
      <c r="S14" s="107">
        <f>AVERAGE(S2:S13)</f>
        <v>9.1956092462234143E-2</v>
      </c>
    </row>
    <row r="15" spans="1:19">
      <c r="J15" s="80">
        <f>(E14+K15)</f>
        <v>114025676.42110001</v>
      </c>
      <c r="K15" s="106">
        <f>G21</f>
        <v>7459623.6911000013</v>
      </c>
    </row>
    <row r="17" spans="3:12">
      <c r="C17" t="s">
        <v>67</v>
      </c>
      <c r="D17" t="s">
        <v>687</v>
      </c>
      <c r="E17" t="s">
        <v>685</v>
      </c>
      <c r="F17" t="s">
        <v>686</v>
      </c>
      <c r="G17" t="s">
        <v>247</v>
      </c>
      <c r="H17" t="s">
        <v>689</v>
      </c>
      <c r="I17" t="s">
        <v>690</v>
      </c>
      <c r="J17" t="s">
        <v>691</v>
      </c>
      <c r="K17" t="s">
        <v>692</v>
      </c>
      <c r="L17" t="s">
        <v>693</v>
      </c>
    </row>
    <row r="18" spans="3:12">
      <c r="C18" t="s">
        <v>682</v>
      </c>
      <c r="E18" s="80">
        <f>E2</f>
        <v>19693406.544504002</v>
      </c>
      <c r="F18" s="83">
        <v>7.0000000000000007E-2</v>
      </c>
      <c r="G18" s="80">
        <f>Table1[[#This Row],[2026 P&amp;L]]*Table1[[#This Row],[2026 Overassign]]</f>
        <v>1378538.4581152801</v>
      </c>
      <c r="H18" s="80">
        <f>Table1[[#This Row],[2026 P&amp;L]]+Table1[[#This Row],[Overassign Amount]]</f>
        <v>21071945.002619281</v>
      </c>
      <c r="I18" s="80">
        <v>572000</v>
      </c>
      <c r="J18" s="80">
        <f>H2</f>
        <v>596350.84070009389</v>
      </c>
      <c r="K18" s="80">
        <f>Table1[[#This Row],[2026Quota]]-Table1[[#This Row],[2025 Quota]]</f>
        <v>24350.84070009389</v>
      </c>
      <c r="L18" s="81">
        <f>Table1[[#This Row],[YoY Increase]]/Table1[[#This Row],[2025 Quota]]</f>
        <v>4.2571399825338967E-2</v>
      </c>
    </row>
    <row r="19" spans="3:12">
      <c r="C19" t="s">
        <v>683</v>
      </c>
      <c r="E19" s="80">
        <f>E6</f>
        <v>42264096.512718</v>
      </c>
      <c r="F19" s="83">
        <v>7.0000000000000007E-2</v>
      </c>
      <c r="G19" s="80">
        <f>Table1[[#This Row],[2026 P&amp;L]]*Table1[[#This Row],[2026 Overassign]]</f>
        <v>2958486.7558902605</v>
      </c>
      <c r="H19" s="80">
        <f>Table1[[#This Row],[2026 P&amp;L]]+Table1[[#This Row],[Overassign Amount]]</f>
        <v>45222583.268608257</v>
      </c>
      <c r="I19" s="80">
        <v>993000</v>
      </c>
      <c r="J19" s="80">
        <f>H6</f>
        <v>1072280.0830201879</v>
      </c>
      <c r="K19" s="80">
        <f>Table1[[#This Row],[2026Quota]]-Table1[[#This Row],[2025 Quota]]</f>
        <v>79280.083020187914</v>
      </c>
      <c r="L19" s="81">
        <f>Table1[[#This Row],[YoY Increase]]/Table1[[#This Row],[2025 Quota]]</f>
        <v>7.9838955710159032E-2</v>
      </c>
    </row>
    <row r="20" spans="3:12">
      <c r="C20" t="s">
        <v>684</v>
      </c>
      <c r="E20" s="80">
        <f>E10</f>
        <v>44608549.672778003</v>
      </c>
      <c r="F20" s="83">
        <v>7.0000000000000007E-2</v>
      </c>
      <c r="G20" s="80">
        <f>Table1[[#This Row],[2026 P&amp;L]]*Table1[[#This Row],[2026 Overassign]]</f>
        <v>3122598.4770944603</v>
      </c>
      <c r="H20" s="80">
        <f>Table1[[#This Row],[2026 P&amp;L]]+Table1[[#This Row],[Overassign Amount]]</f>
        <v>47731148.149872467</v>
      </c>
      <c r="I20" s="80">
        <v>1760000</v>
      </c>
      <c r="J20" s="80">
        <f t="shared" ref="J20:J21" si="1">H10</f>
        <v>1801634.9144045955</v>
      </c>
      <c r="K20" s="80">
        <f>Table1[[#This Row],[2026Quota]]-Table1[[#This Row],[2025 Quota]]</f>
        <v>41634.914404595504</v>
      </c>
      <c r="L20" s="81">
        <f>Table1[[#This Row],[YoY Increase]]/Table1[[#This Row],[2025 Quota]]</f>
        <v>2.3656201366247444E-2</v>
      </c>
    </row>
    <row r="21" spans="3:12">
      <c r="C21" t="s">
        <v>688</v>
      </c>
      <c r="E21" s="80">
        <f>E14</f>
        <v>106566052.73</v>
      </c>
      <c r="F21" s="83">
        <f>AVERAGE(F18:F20)</f>
        <v>7.0000000000000007E-2</v>
      </c>
      <c r="G21" s="80">
        <f>Table1[[#This Row],[2026 P&amp;L]]*Table1[[#This Row],[2026 Overassign]]</f>
        <v>7459623.6911000013</v>
      </c>
      <c r="H21" s="80">
        <f>Table1[[#This Row],[2026 P&amp;L]]+Table1[[#This Row],[Overassign Amount]]</f>
        <v>114025676.42110001</v>
      </c>
      <c r="I21" s="80"/>
      <c r="J21" s="80">
        <f t="shared" si="1"/>
        <v>0</v>
      </c>
      <c r="K21" s="80"/>
      <c r="L21" s="80"/>
    </row>
  </sheetData>
  <mergeCells count="55">
    <mergeCell ref="P2:P5"/>
    <mergeCell ref="P6:P9"/>
    <mergeCell ref="P10:P13"/>
    <mergeCell ref="Q2:Q5"/>
    <mergeCell ref="Q6:Q9"/>
    <mergeCell ref="Q10:Q13"/>
    <mergeCell ref="N2:N5"/>
    <mergeCell ref="N6:N9"/>
    <mergeCell ref="N10:N13"/>
    <mergeCell ref="O2:O5"/>
    <mergeCell ref="O6:O9"/>
    <mergeCell ref="O10:O13"/>
    <mergeCell ref="K2:K5"/>
    <mergeCell ref="K6:K9"/>
    <mergeCell ref="K10:K13"/>
    <mergeCell ref="G2:G5"/>
    <mergeCell ref="G6:G9"/>
    <mergeCell ref="G10:G13"/>
    <mergeCell ref="H10:H13"/>
    <mergeCell ref="H6:H9"/>
    <mergeCell ref="H2:H5"/>
    <mergeCell ref="J10:J13"/>
    <mergeCell ref="J6:J9"/>
    <mergeCell ref="J2:J5"/>
    <mergeCell ref="I2:I5"/>
    <mergeCell ref="I6:I9"/>
    <mergeCell ref="I10:I13"/>
    <mergeCell ref="A2:A14"/>
    <mergeCell ref="B2:B5"/>
    <mergeCell ref="D2:D5"/>
    <mergeCell ref="E2:E5"/>
    <mergeCell ref="F2:F5"/>
    <mergeCell ref="B6:B9"/>
    <mergeCell ref="D6:D9"/>
    <mergeCell ref="E6:E9"/>
    <mergeCell ref="F6:F9"/>
    <mergeCell ref="B10:B13"/>
    <mergeCell ref="C10:C13"/>
    <mergeCell ref="C6:C9"/>
    <mergeCell ref="C2:C5"/>
    <mergeCell ref="D10:D13"/>
    <mergeCell ref="E10:E13"/>
    <mergeCell ref="F10:F13"/>
    <mergeCell ref="L2:L5"/>
    <mergeCell ref="L6:L9"/>
    <mergeCell ref="L10:L13"/>
    <mergeCell ref="M2:M5"/>
    <mergeCell ref="M6:M9"/>
    <mergeCell ref="M10:M13"/>
    <mergeCell ref="R2:R5"/>
    <mergeCell ref="R6:R9"/>
    <mergeCell ref="R10:R13"/>
    <mergeCell ref="S2:S5"/>
    <mergeCell ref="S6:S9"/>
    <mergeCell ref="S10:S13"/>
  </mergeCells>
  <pageMargins left="0.7" right="0.7" top="0.75" bottom="0.75" header="0.3" footer="0.3"/>
  <pageSetup orientation="portrait" horizontalDpi="300" r:id="rId1"/>
  <customProperties>
    <customPr name="_pios_id" r:id="rId2"/>
  </customProperties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AACA-3D35-4949-A158-D8CE510787EC}">
  <sheetPr codeName="Sheet7"/>
  <dimension ref="A1:Q88"/>
  <sheetViews>
    <sheetView showGridLines="0" workbookViewId="0">
      <selection activeCell="D1" sqref="D1:D1048576"/>
    </sheetView>
  </sheetViews>
  <sheetFormatPr baseColWidth="10" defaultColWidth="8.83203125" defaultRowHeight="15"/>
  <cols>
    <col min="1" max="1" width="34.5" bestFit="1" customWidth="1"/>
    <col min="2" max="2" width="19.83203125" bestFit="1" customWidth="1"/>
    <col min="3" max="3" width="31" bestFit="1" customWidth="1"/>
    <col min="4" max="4" width="34.5" style="82" bestFit="1" customWidth="1"/>
    <col min="5" max="5" width="14.33203125" style="82" bestFit="1" customWidth="1"/>
    <col min="6" max="6" width="14.33203125" style="82" customWidth="1"/>
    <col min="7" max="7" width="10.5" bestFit="1" customWidth="1"/>
    <col min="8" max="8" width="20" bestFit="1" customWidth="1"/>
    <col min="9" max="9" width="10" bestFit="1" customWidth="1"/>
    <col min="10" max="10" width="12.5" bestFit="1" customWidth="1"/>
    <col min="11" max="11" width="10.83203125" bestFit="1" customWidth="1"/>
    <col min="12" max="12" width="4.5" bestFit="1" customWidth="1"/>
    <col min="13" max="13" width="11.5" bestFit="1" customWidth="1"/>
    <col min="14" max="14" width="16.1640625" bestFit="1" customWidth="1"/>
    <col min="15" max="15" width="24.83203125" bestFit="1" customWidth="1"/>
    <col min="16" max="16" width="34.5" bestFit="1" customWidth="1"/>
    <col min="17" max="17" width="22.5" bestFit="1" customWidth="1"/>
  </cols>
  <sheetData>
    <row r="1" spans="1:17" ht="32">
      <c r="A1" s="91" t="s">
        <v>275</v>
      </c>
      <c r="B1" s="91" t="s">
        <v>276</v>
      </c>
      <c r="C1" s="91" t="s">
        <v>277</v>
      </c>
      <c r="D1" s="92" t="s">
        <v>278</v>
      </c>
      <c r="E1" s="92" t="s">
        <v>279</v>
      </c>
      <c r="F1" s="92" t="s">
        <v>280</v>
      </c>
      <c r="G1" s="91" t="s">
        <v>281</v>
      </c>
      <c r="H1" s="91" t="s">
        <v>282</v>
      </c>
      <c r="I1" s="91" t="s">
        <v>283</v>
      </c>
      <c r="J1" s="91" t="s">
        <v>284</v>
      </c>
      <c r="K1" s="91" t="s">
        <v>285</v>
      </c>
      <c r="L1" s="91" t="s">
        <v>286</v>
      </c>
      <c r="M1" s="91" t="s">
        <v>287</v>
      </c>
      <c r="N1" s="91" t="s">
        <v>288</v>
      </c>
      <c r="O1" s="91" t="s">
        <v>289</v>
      </c>
      <c r="P1" s="91" t="s">
        <v>290</v>
      </c>
      <c r="Q1" s="91" t="s">
        <v>291</v>
      </c>
    </row>
    <row r="2" spans="1:17" ht="32">
      <c r="A2" s="93" t="s">
        <v>292</v>
      </c>
      <c r="B2" s="93" t="s">
        <v>293</v>
      </c>
      <c r="C2" s="93" t="s">
        <v>294</v>
      </c>
      <c r="D2" s="94">
        <v>286984.89</v>
      </c>
      <c r="E2" s="94">
        <v>208716.28</v>
      </c>
      <c r="F2" s="94" t="str">
        <f t="shared" ref="F2:F33" si="0">IF(D2=E2, "same", "not same")</f>
        <v>not same</v>
      </c>
      <c r="G2" s="95">
        <v>45646</v>
      </c>
      <c r="H2" s="93" t="s">
        <v>295</v>
      </c>
      <c r="I2" s="93" t="s">
        <v>296</v>
      </c>
      <c r="J2" s="96">
        <v>100</v>
      </c>
      <c r="K2" s="93" t="s">
        <v>297</v>
      </c>
      <c r="L2" s="96">
        <v>137</v>
      </c>
      <c r="M2" s="95">
        <v>45509</v>
      </c>
      <c r="N2" s="93" t="s">
        <v>127</v>
      </c>
      <c r="O2" s="93" t="s">
        <v>298</v>
      </c>
      <c r="P2" s="93" t="s">
        <v>299</v>
      </c>
      <c r="Q2" s="93" t="s">
        <v>83</v>
      </c>
    </row>
    <row r="3" spans="1:17" ht="32">
      <c r="A3" s="93" t="s">
        <v>300</v>
      </c>
      <c r="B3" s="93" t="s">
        <v>301</v>
      </c>
      <c r="C3" s="93" t="s">
        <v>294</v>
      </c>
      <c r="D3" s="94">
        <v>250000</v>
      </c>
      <c r="E3" s="94">
        <v>0</v>
      </c>
      <c r="F3" s="94" t="str">
        <f t="shared" si="0"/>
        <v>not same</v>
      </c>
      <c r="G3" s="95">
        <v>45337</v>
      </c>
      <c r="H3" s="93" t="s">
        <v>302</v>
      </c>
      <c r="I3" s="93" t="s">
        <v>296</v>
      </c>
      <c r="J3" s="96">
        <v>100</v>
      </c>
      <c r="K3" s="93" t="s">
        <v>303</v>
      </c>
      <c r="L3" s="96">
        <v>127</v>
      </c>
      <c r="M3" s="95">
        <v>45210</v>
      </c>
      <c r="N3" s="93" t="s">
        <v>146</v>
      </c>
      <c r="O3" s="93" t="s">
        <v>304</v>
      </c>
      <c r="P3" s="93" t="s">
        <v>305</v>
      </c>
      <c r="Q3" s="93" t="s">
        <v>83</v>
      </c>
    </row>
    <row r="4" spans="1:17" ht="32">
      <c r="A4" s="93" t="s">
        <v>306</v>
      </c>
      <c r="B4" s="93" t="s">
        <v>307</v>
      </c>
      <c r="C4" s="93" t="s">
        <v>308</v>
      </c>
      <c r="D4" s="94">
        <v>221966.55</v>
      </c>
      <c r="E4" s="94">
        <v>37872.43</v>
      </c>
      <c r="F4" s="94" t="str">
        <f t="shared" si="0"/>
        <v>not same</v>
      </c>
      <c r="G4" s="95">
        <v>45463</v>
      </c>
      <c r="H4" s="93" t="s">
        <v>309</v>
      </c>
      <c r="I4" s="93" t="s">
        <v>296</v>
      </c>
      <c r="J4" s="96">
        <v>100</v>
      </c>
      <c r="K4" s="93" t="s">
        <v>310</v>
      </c>
      <c r="L4" s="96">
        <v>0</v>
      </c>
      <c r="M4" s="95">
        <v>45464</v>
      </c>
      <c r="N4" s="93" t="s">
        <v>134</v>
      </c>
      <c r="O4" s="93" t="s">
        <v>311</v>
      </c>
      <c r="P4" s="93" t="s">
        <v>312</v>
      </c>
      <c r="Q4" s="93" t="s">
        <v>83</v>
      </c>
    </row>
    <row r="5" spans="1:17" ht="32">
      <c r="A5" s="93" t="s">
        <v>313</v>
      </c>
      <c r="B5" s="93" t="s">
        <v>314</v>
      </c>
      <c r="C5" s="93" t="s">
        <v>315</v>
      </c>
      <c r="D5" s="94">
        <v>181474.02</v>
      </c>
      <c r="E5" s="94">
        <v>129624.3</v>
      </c>
      <c r="F5" s="94" t="str">
        <f t="shared" si="0"/>
        <v>not same</v>
      </c>
      <c r="G5" s="95">
        <v>45379</v>
      </c>
      <c r="H5" s="93" t="s">
        <v>316</v>
      </c>
      <c r="I5" s="93" t="s">
        <v>296</v>
      </c>
      <c r="J5" s="96">
        <v>100</v>
      </c>
      <c r="K5" s="93" t="s">
        <v>303</v>
      </c>
      <c r="L5" s="96">
        <v>69</v>
      </c>
      <c r="M5" s="95">
        <v>45310</v>
      </c>
      <c r="N5" s="93" t="s">
        <v>132</v>
      </c>
      <c r="O5" s="93" t="s">
        <v>311</v>
      </c>
      <c r="P5" s="93" t="s">
        <v>317</v>
      </c>
      <c r="Q5" s="93" t="s">
        <v>83</v>
      </c>
    </row>
    <row r="6" spans="1:17" ht="32">
      <c r="A6" s="93" t="s">
        <v>318</v>
      </c>
      <c r="B6" s="93" t="s">
        <v>319</v>
      </c>
      <c r="C6" s="93" t="s">
        <v>294</v>
      </c>
      <c r="D6" s="94">
        <v>104618.23</v>
      </c>
      <c r="E6" s="94">
        <v>0</v>
      </c>
      <c r="F6" s="94" t="str">
        <f t="shared" si="0"/>
        <v>not same</v>
      </c>
      <c r="G6" s="95">
        <v>45580</v>
      </c>
      <c r="H6" s="93" t="s">
        <v>320</v>
      </c>
      <c r="I6" s="93" t="s">
        <v>296</v>
      </c>
      <c r="J6" s="96">
        <v>100</v>
      </c>
      <c r="K6" s="93" t="s">
        <v>297</v>
      </c>
      <c r="L6" s="96">
        <v>0</v>
      </c>
      <c r="M6" s="95">
        <v>45664</v>
      </c>
      <c r="N6" s="93" t="s">
        <v>123</v>
      </c>
      <c r="O6" s="93" t="s">
        <v>298</v>
      </c>
      <c r="P6" s="93" t="s">
        <v>321</v>
      </c>
      <c r="Q6" s="93" t="s">
        <v>83</v>
      </c>
    </row>
    <row r="7" spans="1:17" ht="32">
      <c r="A7" s="93" t="s">
        <v>322</v>
      </c>
      <c r="B7" s="93" t="s">
        <v>323</v>
      </c>
      <c r="C7" s="93" t="s">
        <v>308</v>
      </c>
      <c r="D7" s="94">
        <v>100000</v>
      </c>
      <c r="E7" s="94">
        <v>0</v>
      </c>
      <c r="F7" s="94" t="str">
        <f t="shared" si="0"/>
        <v>not same</v>
      </c>
      <c r="G7" s="95">
        <v>45488</v>
      </c>
      <c r="H7" s="93" t="s">
        <v>324</v>
      </c>
      <c r="I7" s="93" t="s">
        <v>296</v>
      </c>
      <c r="J7" s="96">
        <v>100</v>
      </c>
      <c r="K7" s="93" t="s">
        <v>325</v>
      </c>
      <c r="L7" s="96">
        <v>69</v>
      </c>
      <c r="M7" s="95">
        <v>45419</v>
      </c>
      <c r="N7" s="93" t="s">
        <v>128</v>
      </c>
      <c r="O7" s="93" t="s">
        <v>298</v>
      </c>
      <c r="P7" s="93" t="s">
        <v>326</v>
      </c>
      <c r="Q7" s="93" t="s">
        <v>83</v>
      </c>
    </row>
    <row r="8" spans="1:17" ht="32">
      <c r="A8" s="93" t="s">
        <v>327</v>
      </c>
      <c r="B8" s="93" t="s">
        <v>328</v>
      </c>
      <c r="C8" s="93" t="s">
        <v>329</v>
      </c>
      <c r="D8" s="94">
        <v>100000</v>
      </c>
      <c r="E8" s="94">
        <v>0</v>
      </c>
      <c r="F8" s="94" t="str">
        <f t="shared" si="0"/>
        <v>not same</v>
      </c>
      <c r="G8" s="95">
        <v>45525</v>
      </c>
      <c r="H8" s="93" t="s">
        <v>330</v>
      </c>
      <c r="I8" s="93" t="s">
        <v>296</v>
      </c>
      <c r="J8" s="96">
        <v>100</v>
      </c>
      <c r="K8" s="93" t="s">
        <v>325</v>
      </c>
      <c r="L8" s="96">
        <v>36</v>
      </c>
      <c r="M8" s="95">
        <v>45489</v>
      </c>
      <c r="N8" s="93" t="s">
        <v>126</v>
      </c>
      <c r="O8" s="93" t="s">
        <v>298</v>
      </c>
      <c r="P8" s="93" t="s">
        <v>331</v>
      </c>
      <c r="Q8" s="93" t="s">
        <v>83</v>
      </c>
    </row>
    <row r="9" spans="1:17" ht="32">
      <c r="A9" s="93" t="s">
        <v>332</v>
      </c>
      <c r="B9" s="93" t="s">
        <v>333</v>
      </c>
      <c r="C9" s="93" t="s">
        <v>329</v>
      </c>
      <c r="D9" s="94">
        <v>100000</v>
      </c>
      <c r="E9" s="94">
        <v>0</v>
      </c>
      <c r="F9" s="94" t="str">
        <f t="shared" si="0"/>
        <v>not same</v>
      </c>
      <c r="G9" s="95">
        <v>45656</v>
      </c>
      <c r="H9" s="93" t="s">
        <v>334</v>
      </c>
      <c r="I9" s="93" t="s">
        <v>296</v>
      </c>
      <c r="J9" s="96">
        <v>100</v>
      </c>
      <c r="K9" s="93" t="s">
        <v>297</v>
      </c>
      <c r="L9" s="96">
        <v>166</v>
      </c>
      <c r="M9" s="95">
        <v>45490</v>
      </c>
      <c r="N9" s="93" t="s">
        <v>126</v>
      </c>
      <c r="O9" s="93" t="s">
        <v>298</v>
      </c>
      <c r="P9" s="93" t="s">
        <v>335</v>
      </c>
      <c r="Q9" s="93" t="s">
        <v>83</v>
      </c>
    </row>
    <row r="10" spans="1:17" ht="32">
      <c r="A10" s="93" t="s">
        <v>336</v>
      </c>
      <c r="B10" s="93" t="s">
        <v>337</v>
      </c>
      <c r="C10" s="93" t="s">
        <v>308</v>
      </c>
      <c r="D10" s="94">
        <v>94235.88</v>
      </c>
      <c r="E10" s="94">
        <v>0</v>
      </c>
      <c r="F10" s="94" t="str">
        <f t="shared" si="0"/>
        <v>not same</v>
      </c>
      <c r="G10" s="95">
        <v>45369</v>
      </c>
      <c r="H10" s="93" t="s">
        <v>338</v>
      </c>
      <c r="I10" s="93" t="s">
        <v>296</v>
      </c>
      <c r="J10" s="96">
        <v>100</v>
      </c>
      <c r="K10" s="93" t="s">
        <v>303</v>
      </c>
      <c r="L10" s="96">
        <v>33</v>
      </c>
      <c r="M10" s="95">
        <v>45336</v>
      </c>
      <c r="N10" s="93" t="s">
        <v>125</v>
      </c>
      <c r="O10" s="93" t="s">
        <v>298</v>
      </c>
      <c r="P10" s="93" t="s">
        <v>339</v>
      </c>
      <c r="Q10" s="93" t="s">
        <v>83</v>
      </c>
    </row>
    <row r="11" spans="1:17" ht="32">
      <c r="A11" s="93" t="s">
        <v>340</v>
      </c>
      <c r="B11" s="93" t="s">
        <v>341</v>
      </c>
      <c r="C11" s="93" t="s">
        <v>329</v>
      </c>
      <c r="D11" s="94">
        <v>88816.8</v>
      </c>
      <c r="E11" s="94">
        <v>0</v>
      </c>
      <c r="F11" s="94" t="str">
        <f t="shared" si="0"/>
        <v>not same</v>
      </c>
      <c r="G11" s="95">
        <v>45376</v>
      </c>
      <c r="H11" s="93" t="s">
        <v>342</v>
      </c>
      <c r="I11" s="93" t="s">
        <v>296</v>
      </c>
      <c r="J11" s="96">
        <v>100</v>
      </c>
      <c r="K11" s="93" t="s">
        <v>303</v>
      </c>
      <c r="L11" s="96">
        <v>34</v>
      </c>
      <c r="M11" s="95">
        <v>45342</v>
      </c>
      <c r="N11" s="93" t="s">
        <v>126</v>
      </c>
      <c r="O11" s="93" t="s">
        <v>298</v>
      </c>
      <c r="P11" s="93" t="s">
        <v>343</v>
      </c>
      <c r="Q11" s="93" t="s">
        <v>83</v>
      </c>
    </row>
    <row r="12" spans="1:17" ht="32">
      <c r="A12" s="93" t="s">
        <v>344</v>
      </c>
      <c r="B12" s="93" t="s">
        <v>345</v>
      </c>
      <c r="C12" s="93" t="s">
        <v>308</v>
      </c>
      <c r="D12" s="94">
        <v>87779.16</v>
      </c>
      <c r="E12" s="94">
        <v>0</v>
      </c>
      <c r="F12" s="94" t="str">
        <f t="shared" si="0"/>
        <v>not same</v>
      </c>
      <c r="G12" s="95">
        <v>45588</v>
      </c>
      <c r="H12" s="93" t="s">
        <v>346</v>
      </c>
      <c r="I12" s="93" t="s">
        <v>296</v>
      </c>
      <c r="J12" s="96">
        <v>100</v>
      </c>
      <c r="K12" s="93" t="s">
        <v>297</v>
      </c>
      <c r="L12" s="96">
        <v>63</v>
      </c>
      <c r="M12" s="95">
        <v>45525</v>
      </c>
      <c r="N12" s="93" t="s">
        <v>124</v>
      </c>
      <c r="O12" s="93" t="s">
        <v>298</v>
      </c>
      <c r="P12" s="93" t="s">
        <v>347</v>
      </c>
      <c r="Q12" s="93" t="s">
        <v>83</v>
      </c>
    </row>
    <row r="13" spans="1:17" ht="32">
      <c r="A13" s="93" t="s">
        <v>348</v>
      </c>
      <c r="B13" s="93" t="s">
        <v>349</v>
      </c>
      <c r="C13" s="93" t="s">
        <v>350</v>
      </c>
      <c r="D13" s="94">
        <v>85640</v>
      </c>
      <c r="E13" s="94">
        <v>0</v>
      </c>
      <c r="F13" s="94" t="str">
        <f t="shared" si="0"/>
        <v>not same</v>
      </c>
      <c r="G13" s="95">
        <v>45468</v>
      </c>
      <c r="H13" s="93" t="s">
        <v>351</v>
      </c>
      <c r="I13" s="93" t="s">
        <v>296</v>
      </c>
      <c r="J13" s="96">
        <v>100</v>
      </c>
      <c r="K13" s="93" t="s">
        <v>310</v>
      </c>
      <c r="L13" s="96">
        <v>55</v>
      </c>
      <c r="M13" s="95">
        <v>45413</v>
      </c>
      <c r="N13" s="93" t="s">
        <v>124</v>
      </c>
      <c r="O13" s="93" t="s">
        <v>298</v>
      </c>
      <c r="P13" s="93" t="s">
        <v>352</v>
      </c>
      <c r="Q13" s="93" t="s">
        <v>83</v>
      </c>
    </row>
    <row r="14" spans="1:17" ht="32">
      <c r="A14" s="93" t="s">
        <v>353</v>
      </c>
      <c r="B14" s="93" t="s">
        <v>354</v>
      </c>
      <c r="C14" s="93" t="s">
        <v>329</v>
      </c>
      <c r="D14" s="94">
        <v>74032.800000000003</v>
      </c>
      <c r="E14" s="94">
        <v>0</v>
      </c>
      <c r="F14" s="94" t="str">
        <f t="shared" si="0"/>
        <v>not same</v>
      </c>
      <c r="G14" s="95">
        <v>45426</v>
      </c>
      <c r="H14" s="93" t="s">
        <v>355</v>
      </c>
      <c r="I14" s="93" t="s">
        <v>296</v>
      </c>
      <c r="J14" s="96">
        <v>100</v>
      </c>
      <c r="K14" s="93" t="s">
        <v>310</v>
      </c>
      <c r="L14" s="96">
        <v>7</v>
      </c>
      <c r="M14" s="95">
        <v>45419</v>
      </c>
      <c r="N14" s="93" t="s">
        <v>126</v>
      </c>
      <c r="O14" s="93" t="s">
        <v>298</v>
      </c>
      <c r="P14" s="93" t="s">
        <v>356</v>
      </c>
      <c r="Q14" s="93" t="s">
        <v>83</v>
      </c>
    </row>
    <row r="15" spans="1:17" ht="32">
      <c r="A15" s="93" t="s">
        <v>357</v>
      </c>
      <c r="B15" s="93" t="s">
        <v>358</v>
      </c>
      <c r="C15" s="93" t="s">
        <v>329</v>
      </c>
      <c r="D15" s="94">
        <v>72463</v>
      </c>
      <c r="E15" s="94">
        <v>0</v>
      </c>
      <c r="F15" s="94" t="str">
        <f t="shared" si="0"/>
        <v>not same</v>
      </c>
      <c r="G15" s="95">
        <v>45534</v>
      </c>
      <c r="H15" s="93" t="s">
        <v>359</v>
      </c>
      <c r="I15" s="93" t="s">
        <v>296</v>
      </c>
      <c r="J15" s="96">
        <v>100</v>
      </c>
      <c r="K15" s="93" t="s">
        <v>325</v>
      </c>
      <c r="L15" s="96">
        <v>185</v>
      </c>
      <c r="M15" s="95">
        <v>45349</v>
      </c>
      <c r="N15" s="93" t="s">
        <v>123</v>
      </c>
      <c r="O15" s="93" t="s">
        <v>298</v>
      </c>
      <c r="P15" s="93" t="s">
        <v>360</v>
      </c>
      <c r="Q15" s="93" t="s">
        <v>83</v>
      </c>
    </row>
    <row r="16" spans="1:17" ht="32">
      <c r="A16" s="93" t="s">
        <v>361</v>
      </c>
      <c r="B16" s="93" t="s">
        <v>362</v>
      </c>
      <c r="C16" s="93" t="s">
        <v>308</v>
      </c>
      <c r="D16" s="94">
        <v>72284.460000000006</v>
      </c>
      <c r="E16" s="94">
        <v>0</v>
      </c>
      <c r="F16" s="94" t="str">
        <f t="shared" si="0"/>
        <v>not same</v>
      </c>
      <c r="G16" s="95">
        <v>45401</v>
      </c>
      <c r="H16" s="93" t="s">
        <v>363</v>
      </c>
      <c r="I16" s="93" t="s">
        <v>296</v>
      </c>
      <c r="J16" s="96">
        <v>100</v>
      </c>
      <c r="K16" s="93" t="s">
        <v>310</v>
      </c>
      <c r="L16" s="96">
        <v>23</v>
      </c>
      <c r="M16" s="95">
        <v>45378</v>
      </c>
      <c r="N16" s="93" t="s">
        <v>125</v>
      </c>
      <c r="O16" s="93" t="s">
        <v>298</v>
      </c>
      <c r="P16" s="93" t="s">
        <v>364</v>
      </c>
      <c r="Q16" s="93" t="s">
        <v>83</v>
      </c>
    </row>
    <row r="17" spans="1:17" ht="32">
      <c r="A17" s="93" t="s">
        <v>365</v>
      </c>
      <c r="B17" s="93" t="s">
        <v>366</v>
      </c>
      <c r="C17" s="93" t="s">
        <v>294</v>
      </c>
      <c r="D17" s="94">
        <v>71352.800000000003</v>
      </c>
      <c r="E17" s="94">
        <v>8756</v>
      </c>
      <c r="F17" s="94" t="str">
        <f t="shared" si="0"/>
        <v>not same</v>
      </c>
      <c r="G17" s="95">
        <v>45348</v>
      </c>
      <c r="H17" s="93" t="s">
        <v>367</v>
      </c>
      <c r="I17" s="93" t="s">
        <v>296</v>
      </c>
      <c r="J17" s="96">
        <v>100</v>
      </c>
      <c r="K17" s="93" t="s">
        <v>303</v>
      </c>
      <c r="L17" s="96">
        <v>151</v>
      </c>
      <c r="M17" s="95">
        <v>45197</v>
      </c>
      <c r="N17" s="93" t="s">
        <v>125</v>
      </c>
      <c r="O17" s="93" t="s">
        <v>298</v>
      </c>
      <c r="P17" s="93" t="s">
        <v>368</v>
      </c>
      <c r="Q17" s="93" t="s">
        <v>83</v>
      </c>
    </row>
    <row r="18" spans="1:17" ht="32">
      <c r="A18" s="93" t="s">
        <v>369</v>
      </c>
      <c r="B18" s="93" t="s">
        <v>370</v>
      </c>
      <c r="C18" s="93" t="s">
        <v>350</v>
      </c>
      <c r="D18" s="94">
        <v>66947.520000000004</v>
      </c>
      <c r="E18" s="94">
        <v>0</v>
      </c>
      <c r="F18" s="94" t="str">
        <f t="shared" si="0"/>
        <v>not same</v>
      </c>
      <c r="G18" s="95">
        <v>45530</v>
      </c>
      <c r="H18" s="93" t="s">
        <v>371</v>
      </c>
      <c r="I18" s="93" t="s">
        <v>296</v>
      </c>
      <c r="J18" s="96">
        <v>100</v>
      </c>
      <c r="K18" s="93" t="s">
        <v>325</v>
      </c>
      <c r="L18" s="96">
        <v>222</v>
      </c>
      <c r="M18" s="95">
        <v>45308</v>
      </c>
      <c r="N18" s="93" t="s">
        <v>125</v>
      </c>
      <c r="O18" s="93" t="s">
        <v>298</v>
      </c>
      <c r="P18" s="93" t="s">
        <v>372</v>
      </c>
      <c r="Q18" s="93" t="s">
        <v>83</v>
      </c>
    </row>
    <row r="19" spans="1:17" ht="32">
      <c r="A19" s="93" t="s">
        <v>373</v>
      </c>
      <c r="B19" s="93" t="s">
        <v>374</v>
      </c>
      <c r="C19" s="93" t="s">
        <v>329</v>
      </c>
      <c r="D19" s="94">
        <v>64591.68</v>
      </c>
      <c r="E19" s="94">
        <v>0</v>
      </c>
      <c r="F19" s="94" t="str">
        <f t="shared" si="0"/>
        <v>not same</v>
      </c>
      <c r="G19" s="95">
        <v>45408</v>
      </c>
      <c r="H19" s="93" t="s">
        <v>375</v>
      </c>
      <c r="I19" s="93" t="s">
        <v>296</v>
      </c>
      <c r="J19" s="96">
        <v>100</v>
      </c>
      <c r="K19" s="93" t="s">
        <v>310</v>
      </c>
      <c r="L19" s="96">
        <v>14</v>
      </c>
      <c r="M19" s="95">
        <v>45394</v>
      </c>
      <c r="N19" s="93" t="s">
        <v>126</v>
      </c>
      <c r="O19" s="93" t="s">
        <v>298</v>
      </c>
      <c r="P19" s="93" t="s">
        <v>376</v>
      </c>
      <c r="Q19" s="93" t="s">
        <v>83</v>
      </c>
    </row>
    <row r="20" spans="1:17" ht="32">
      <c r="A20" s="93" t="s">
        <v>377</v>
      </c>
      <c r="B20" s="93" t="s">
        <v>378</v>
      </c>
      <c r="C20" s="93" t="s">
        <v>294</v>
      </c>
      <c r="D20" s="94">
        <v>58034.23</v>
      </c>
      <c r="E20" s="94">
        <v>38689.49</v>
      </c>
      <c r="F20" s="94" t="str">
        <f t="shared" si="0"/>
        <v>not same</v>
      </c>
      <c r="G20" s="95">
        <v>45470</v>
      </c>
      <c r="H20" s="93" t="s">
        <v>379</v>
      </c>
      <c r="I20" s="93" t="s">
        <v>296</v>
      </c>
      <c r="J20" s="96">
        <v>100</v>
      </c>
      <c r="K20" s="93" t="s">
        <v>310</v>
      </c>
      <c r="L20" s="96">
        <v>0</v>
      </c>
      <c r="M20" s="95">
        <v>45482</v>
      </c>
      <c r="N20" s="93" t="s">
        <v>142</v>
      </c>
      <c r="O20" s="93" t="s">
        <v>304</v>
      </c>
      <c r="P20" s="93" t="s">
        <v>380</v>
      </c>
      <c r="Q20" s="93" t="s">
        <v>83</v>
      </c>
    </row>
    <row r="21" spans="1:17" ht="32">
      <c r="A21" s="93" t="s">
        <v>381</v>
      </c>
      <c r="B21" s="93" t="s">
        <v>382</v>
      </c>
      <c r="C21" s="93" t="s">
        <v>350</v>
      </c>
      <c r="D21" s="94">
        <v>55755.3</v>
      </c>
      <c r="E21" s="94">
        <v>2.76</v>
      </c>
      <c r="F21" s="94" t="str">
        <f t="shared" si="0"/>
        <v>not same</v>
      </c>
      <c r="G21" s="95">
        <v>45535</v>
      </c>
      <c r="H21" s="93" t="s">
        <v>383</v>
      </c>
      <c r="I21" s="93" t="s">
        <v>296</v>
      </c>
      <c r="J21" s="96">
        <v>100</v>
      </c>
      <c r="K21" s="93" t="s">
        <v>325</v>
      </c>
      <c r="L21" s="96">
        <v>101</v>
      </c>
      <c r="M21" s="95">
        <v>45434</v>
      </c>
      <c r="N21" s="93" t="s">
        <v>125</v>
      </c>
      <c r="O21" s="93" t="s">
        <v>298</v>
      </c>
      <c r="P21" s="93" t="s">
        <v>384</v>
      </c>
      <c r="Q21" s="93" t="s">
        <v>83</v>
      </c>
    </row>
    <row r="22" spans="1:17" ht="32">
      <c r="A22" s="93" t="s">
        <v>385</v>
      </c>
      <c r="B22" s="93" t="s">
        <v>386</v>
      </c>
      <c r="C22" s="93" t="s">
        <v>387</v>
      </c>
      <c r="D22" s="94">
        <v>55003.88</v>
      </c>
      <c r="E22" s="94">
        <v>5012.28</v>
      </c>
      <c r="F22" s="94" t="str">
        <f t="shared" si="0"/>
        <v>not same</v>
      </c>
      <c r="G22" s="95">
        <v>45370</v>
      </c>
      <c r="H22" s="93" t="s">
        <v>388</v>
      </c>
      <c r="I22" s="93" t="s">
        <v>296</v>
      </c>
      <c r="J22" s="96">
        <v>100</v>
      </c>
      <c r="K22" s="93" t="s">
        <v>303</v>
      </c>
      <c r="L22" s="96">
        <v>18</v>
      </c>
      <c r="M22" s="95">
        <v>45352</v>
      </c>
      <c r="N22" s="93" t="s">
        <v>127</v>
      </c>
      <c r="O22" s="93" t="s">
        <v>298</v>
      </c>
      <c r="P22" s="93" t="s">
        <v>389</v>
      </c>
      <c r="Q22" s="93" t="s">
        <v>83</v>
      </c>
    </row>
    <row r="23" spans="1:17" ht="32">
      <c r="A23" s="93" t="s">
        <v>390</v>
      </c>
      <c r="B23" s="93" t="s">
        <v>391</v>
      </c>
      <c r="C23" s="93" t="s">
        <v>315</v>
      </c>
      <c r="D23" s="94">
        <v>54997.5</v>
      </c>
      <c r="E23" s="94">
        <v>0</v>
      </c>
      <c r="F23" s="94" t="str">
        <f t="shared" si="0"/>
        <v>not same</v>
      </c>
      <c r="G23" s="95">
        <v>45463</v>
      </c>
      <c r="H23" s="93" t="s">
        <v>392</v>
      </c>
      <c r="I23" s="93" t="s">
        <v>296</v>
      </c>
      <c r="J23" s="96">
        <v>100</v>
      </c>
      <c r="K23" s="93" t="s">
        <v>310</v>
      </c>
      <c r="L23" s="96">
        <v>21</v>
      </c>
      <c r="M23" s="95">
        <v>45442</v>
      </c>
      <c r="N23" s="93" t="s">
        <v>126</v>
      </c>
      <c r="O23" s="93" t="s">
        <v>298</v>
      </c>
      <c r="P23" s="93" t="s">
        <v>393</v>
      </c>
      <c r="Q23" s="93" t="s">
        <v>83</v>
      </c>
    </row>
    <row r="24" spans="1:17" ht="32">
      <c r="A24" s="93" t="s">
        <v>394</v>
      </c>
      <c r="B24" s="93" t="s">
        <v>395</v>
      </c>
      <c r="C24" s="93" t="s">
        <v>396</v>
      </c>
      <c r="D24" s="94">
        <v>54720</v>
      </c>
      <c r="E24" s="94">
        <v>19152</v>
      </c>
      <c r="F24" s="94" t="str">
        <f t="shared" si="0"/>
        <v>not same</v>
      </c>
      <c r="G24" s="95">
        <v>45555</v>
      </c>
      <c r="H24" s="93" t="s">
        <v>397</v>
      </c>
      <c r="I24" s="93" t="s">
        <v>296</v>
      </c>
      <c r="J24" s="96">
        <v>100</v>
      </c>
      <c r="K24" s="93" t="s">
        <v>325</v>
      </c>
      <c r="L24" s="96">
        <v>284</v>
      </c>
      <c r="M24" s="95">
        <v>45271</v>
      </c>
      <c r="N24" s="93" t="s">
        <v>128</v>
      </c>
      <c r="O24" s="93" t="s">
        <v>298</v>
      </c>
      <c r="P24" s="93" t="s">
        <v>398</v>
      </c>
      <c r="Q24" s="93" t="s">
        <v>83</v>
      </c>
    </row>
    <row r="25" spans="1:17" ht="32">
      <c r="A25" s="93" t="s">
        <v>399</v>
      </c>
      <c r="B25" s="93" t="s">
        <v>400</v>
      </c>
      <c r="C25" s="93" t="s">
        <v>308</v>
      </c>
      <c r="D25" s="94">
        <v>53873.88</v>
      </c>
      <c r="E25" s="94">
        <v>0</v>
      </c>
      <c r="F25" s="94" t="str">
        <f t="shared" si="0"/>
        <v>not same</v>
      </c>
      <c r="G25" s="95">
        <v>45447</v>
      </c>
      <c r="H25" s="93" t="s">
        <v>401</v>
      </c>
      <c r="I25" s="93" t="s">
        <v>296</v>
      </c>
      <c r="J25" s="96">
        <v>100</v>
      </c>
      <c r="K25" s="93" t="s">
        <v>310</v>
      </c>
      <c r="L25" s="96">
        <v>14</v>
      </c>
      <c r="M25" s="95">
        <v>45433</v>
      </c>
      <c r="N25" s="93" t="s">
        <v>128</v>
      </c>
      <c r="O25" s="93" t="s">
        <v>298</v>
      </c>
      <c r="P25" s="93" t="s">
        <v>402</v>
      </c>
      <c r="Q25" s="93" t="s">
        <v>83</v>
      </c>
    </row>
    <row r="26" spans="1:17" ht="32">
      <c r="A26" s="93" t="s">
        <v>403</v>
      </c>
      <c r="B26" s="93" t="s">
        <v>404</v>
      </c>
      <c r="C26" s="93" t="s">
        <v>294</v>
      </c>
      <c r="D26" s="94">
        <v>53736</v>
      </c>
      <c r="E26" s="94">
        <v>0</v>
      </c>
      <c r="F26" s="94" t="str">
        <f t="shared" si="0"/>
        <v>not same</v>
      </c>
      <c r="G26" s="95">
        <v>45617</v>
      </c>
      <c r="H26" s="93" t="s">
        <v>405</v>
      </c>
      <c r="I26" s="93" t="s">
        <v>296</v>
      </c>
      <c r="J26" s="96">
        <v>100</v>
      </c>
      <c r="K26" s="93" t="s">
        <v>297</v>
      </c>
      <c r="L26" s="96">
        <v>268</v>
      </c>
      <c r="M26" s="95">
        <v>45349</v>
      </c>
      <c r="N26" s="93" t="s">
        <v>125</v>
      </c>
      <c r="O26" s="93" t="s">
        <v>298</v>
      </c>
      <c r="P26" s="93" t="s">
        <v>406</v>
      </c>
      <c r="Q26" s="93" t="s">
        <v>83</v>
      </c>
    </row>
    <row r="27" spans="1:17" ht="32">
      <c r="A27" s="93" t="s">
        <v>407</v>
      </c>
      <c r="B27" s="93" t="s">
        <v>408</v>
      </c>
      <c r="C27" s="93" t="s">
        <v>308</v>
      </c>
      <c r="D27" s="94">
        <v>53247.78</v>
      </c>
      <c r="E27" s="94">
        <v>0</v>
      </c>
      <c r="F27" s="94" t="str">
        <f t="shared" si="0"/>
        <v>not same</v>
      </c>
      <c r="G27" s="95">
        <v>45468</v>
      </c>
      <c r="H27" s="93" t="s">
        <v>409</v>
      </c>
      <c r="I27" s="93" t="s">
        <v>296</v>
      </c>
      <c r="J27" s="96">
        <v>100</v>
      </c>
      <c r="K27" s="93" t="s">
        <v>310</v>
      </c>
      <c r="L27" s="96">
        <v>84</v>
      </c>
      <c r="M27" s="95">
        <v>45384</v>
      </c>
      <c r="N27" s="93" t="s">
        <v>124</v>
      </c>
      <c r="O27" s="93" t="s">
        <v>298</v>
      </c>
      <c r="P27" s="93" t="s">
        <v>410</v>
      </c>
      <c r="Q27" s="93" t="s">
        <v>83</v>
      </c>
    </row>
    <row r="28" spans="1:17" ht="32">
      <c r="A28" s="93" t="s">
        <v>411</v>
      </c>
      <c r="B28" s="93" t="s">
        <v>412</v>
      </c>
      <c r="C28" s="93" t="s">
        <v>294</v>
      </c>
      <c r="D28" s="94">
        <v>53076.24</v>
      </c>
      <c r="E28" s="94">
        <v>0</v>
      </c>
      <c r="F28" s="94" t="str">
        <f t="shared" si="0"/>
        <v>not same</v>
      </c>
      <c r="G28" s="95">
        <v>45429</v>
      </c>
      <c r="H28" s="93" t="s">
        <v>413</v>
      </c>
      <c r="I28" s="93" t="s">
        <v>296</v>
      </c>
      <c r="J28" s="96">
        <v>100</v>
      </c>
      <c r="K28" s="93" t="s">
        <v>310</v>
      </c>
      <c r="L28" s="96">
        <v>24</v>
      </c>
      <c r="M28" s="95">
        <v>45405</v>
      </c>
      <c r="N28" s="93" t="s">
        <v>125</v>
      </c>
      <c r="O28" s="93" t="s">
        <v>298</v>
      </c>
      <c r="P28" s="93" t="s">
        <v>414</v>
      </c>
      <c r="Q28" s="93" t="s">
        <v>83</v>
      </c>
    </row>
    <row r="29" spans="1:17" ht="32">
      <c r="A29" s="93" t="s">
        <v>415</v>
      </c>
      <c r="B29" s="93" t="s">
        <v>416</v>
      </c>
      <c r="C29" s="93" t="s">
        <v>294</v>
      </c>
      <c r="D29" s="94">
        <v>52973</v>
      </c>
      <c r="E29" s="94">
        <v>0</v>
      </c>
      <c r="F29" s="94" t="str">
        <f t="shared" si="0"/>
        <v>not same</v>
      </c>
      <c r="G29" s="95">
        <v>45568</v>
      </c>
      <c r="H29" s="93" t="s">
        <v>417</v>
      </c>
      <c r="I29" s="93" t="s">
        <v>296</v>
      </c>
      <c r="J29" s="96">
        <v>100</v>
      </c>
      <c r="K29" s="93" t="s">
        <v>297</v>
      </c>
      <c r="L29" s="96">
        <v>414</v>
      </c>
      <c r="M29" s="95">
        <v>45154</v>
      </c>
      <c r="N29" s="93" t="s">
        <v>125</v>
      </c>
      <c r="O29" s="93" t="s">
        <v>298</v>
      </c>
      <c r="P29" s="93" t="s">
        <v>418</v>
      </c>
      <c r="Q29" s="93" t="s">
        <v>83</v>
      </c>
    </row>
    <row r="30" spans="1:17" ht="32">
      <c r="A30" s="93" t="s">
        <v>419</v>
      </c>
      <c r="B30" s="93" t="s">
        <v>420</v>
      </c>
      <c r="C30" s="93" t="s">
        <v>329</v>
      </c>
      <c r="D30" s="94">
        <v>52939.5</v>
      </c>
      <c r="E30" s="94">
        <v>0</v>
      </c>
      <c r="F30" s="94" t="str">
        <f t="shared" si="0"/>
        <v>not same</v>
      </c>
      <c r="G30" s="95">
        <v>45442</v>
      </c>
      <c r="H30" s="93" t="s">
        <v>421</v>
      </c>
      <c r="I30" s="93" t="s">
        <v>296</v>
      </c>
      <c r="J30" s="96">
        <v>100</v>
      </c>
      <c r="K30" s="93" t="s">
        <v>310</v>
      </c>
      <c r="L30" s="96">
        <v>28</v>
      </c>
      <c r="M30" s="95">
        <v>45414</v>
      </c>
      <c r="N30" s="93" t="s">
        <v>126</v>
      </c>
      <c r="O30" s="93" t="s">
        <v>298</v>
      </c>
      <c r="P30" s="93" t="s">
        <v>422</v>
      </c>
      <c r="Q30" s="93" t="s">
        <v>83</v>
      </c>
    </row>
    <row r="31" spans="1:17" ht="32">
      <c r="A31" s="93" t="s">
        <v>423</v>
      </c>
      <c r="B31" s="93" t="s">
        <v>424</v>
      </c>
      <c r="C31" s="93" t="s">
        <v>350</v>
      </c>
      <c r="D31" s="94">
        <v>50388.82</v>
      </c>
      <c r="E31" s="94">
        <v>0</v>
      </c>
      <c r="F31" s="94" t="str">
        <f t="shared" si="0"/>
        <v>not same</v>
      </c>
      <c r="G31" s="95">
        <v>45392</v>
      </c>
      <c r="H31" s="93" t="s">
        <v>425</v>
      </c>
      <c r="I31" s="93" t="s">
        <v>296</v>
      </c>
      <c r="J31" s="96">
        <v>100</v>
      </c>
      <c r="K31" s="93" t="s">
        <v>310</v>
      </c>
      <c r="L31" s="96">
        <v>145</v>
      </c>
      <c r="M31" s="95">
        <v>45247</v>
      </c>
      <c r="N31" s="93" t="s">
        <v>123</v>
      </c>
      <c r="O31" s="93" t="s">
        <v>298</v>
      </c>
      <c r="P31" s="93" t="s">
        <v>426</v>
      </c>
      <c r="Q31" s="93" t="s">
        <v>83</v>
      </c>
    </row>
    <row r="32" spans="1:17" ht="32">
      <c r="A32" s="93" t="s">
        <v>427</v>
      </c>
      <c r="B32" s="93" t="s">
        <v>428</v>
      </c>
      <c r="C32" s="93" t="s">
        <v>329</v>
      </c>
      <c r="D32" s="94">
        <v>49978.68</v>
      </c>
      <c r="E32" s="94">
        <v>0</v>
      </c>
      <c r="F32" s="94" t="str">
        <f t="shared" si="0"/>
        <v>not same</v>
      </c>
      <c r="G32" s="95">
        <v>45322</v>
      </c>
      <c r="H32" s="93" t="s">
        <v>429</v>
      </c>
      <c r="I32" s="93" t="s">
        <v>296</v>
      </c>
      <c r="J32" s="96">
        <v>100</v>
      </c>
      <c r="K32" s="93" t="s">
        <v>303</v>
      </c>
      <c r="L32" s="96">
        <v>110</v>
      </c>
      <c r="M32" s="95">
        <v>45212</v>
      </c>
      <c r="N32" s="93" t="s">
        <v>123</v>
      </c>
      <c r="O32" s="93" t="s">
        <v>298</v>
      </c>
      <c r="P32" s="93" t="s">
        <v>430</v>
      </c>
      <c r="Q32" s="93" t="s">
        <v>83</v>
      </c>
    </row>
    <row r="33" spans="1:17" ht="32">
      <c r="A33" s="93" t="s">
        <v>431</v>
      </c>
      <c r="B33" s="93" t="s">
        <v>432</v>
      </c>
      <c r="C33" s="93" t="s">
        <v>433</v>
      </c>
      <c r="D33" s="94">
        <v>47777.04</v>
      </c>
      <c r="E33" s="94">
        <v>0</v>
      </c>
      <c r="F33" s="94" t="str">
        <f t="shared" si="0"/>
        <v>not same</v>
      </c>
      <c r="G33" s="95">
        <v>45447</v>
      </c>
      <c r="H33" s="93" t="s">
        <v>434</v>
      </c>
      <c r="I33" s="93" t="s">
        <v>296</v>
      </c>
      <c r="J33" s="96">
        <v>100</v>
      </c>
      <c r="K33" s="93" t="s">
        <v>310</v>
      </c>
      <c r="L33" s="96">
        <v>36</v>
      </c>
      <c r="M33" s="95">
        <v>45411</v>
      </c>
      <c r="N33" s="93" t="s">
        <v>127</v>
      </c>
      <c r="O33" s="93" t="s">
        <v>298</v>
      </c>
      <c r="P33" s="93" t="s">
        <v>435</v>
      </c>
      <c r="Q33" s="93" t="s">
        <v>83</v>
      </c>
    </row>
    <row r="34" spans="1:17" ht="32">
      <c r="A34" s="93" t="s">
        <v>436</v>
      </c>
      <c r="B34" s="93" t="s">
        <v>437</v>
      </c>
      <c r="C34" s="93" t="s">
        <v>308</v>
      </c>
      <c r="D34" s="94">
        <v>41940</v>
      </c>
      <c r="E34" s="94">
        <v>0</v>
      </c>
      <c r="F34" s="94" t="str">
        <f t="shared" ref="F34:F65" si="1">IF(D34=E34, "same", "not same")</f>
        <v>not same</v>
      </c>
      <c r="G34" s="95">
        <v>45471</v>
      </c>
      <c r="H34" s="93" t="s">
        <v>438</v>
      </c>
      <c r="I34" s="93" t="s">
        <v>296</v>
      </c>
      <c r="J34" s="96">
        <v>100</v>
      </c>
      <c r="K34" s="93" t="s">
        <v>310</v>
      </c>
      <c r="L34" s="96">
        <v>66</v>
      </c>
      <c r="M34" s="95">
        <v>45405</v>
      </c>
      <c r="N34" s="93" t="s">
        <v>128</v>
      </c>
      <c r="O34" s="93" t="s">
        <v>298</v>
      </c>
      <c r="P34" s="93" t="s">
        <v>439</v>
      </c>
      <c r="Q34" s="93" t="s">
        <v>83</v>
      </c>
    </row>
    <row r="35" spans="1:17" ht="32">
      <c r="A35" s="93" t="s">
        <v>440</v>
      </c>
      <c r="B35" s="93" t="s">
        <v>441</v>
      </c>
      <c r="C35" s="93" t="s">
        <v>329</v>
      </c>
      <c r="D35" s="94">
        <v>41579.160000000003</v>
      </c>
      <c r="E35" s="94">
        <v>0</v>
      </c>
      <c r="F35" s="94" t="str">
        <f t="shared" si="1"/>
        <v>not same</v>
      </c>
      <c r="G35" s="95">
        <v>45328</v>
      </c>
      <c r="H35" s="93" t="s">
        <v>442</v>
      </c>
      <c r="I35" s="93" t="s">
        <v>296</v>
      </c>
      <c r="J35" s="96">
        <v>100</v>
      </c>
      <c r="K35" s="93" t="s">
        <v>303</v>
      </c>
      <c r="L35" s="96">
        <v>11</v>
      </c>
      <c r="M35" s="95">
        <v>45317</v>
      </c>
      <c r="N35" s="93" t="s">
        <v>126</v>
      </c>
      <c r="O35" s="93" t="s">
        <v>298</v>
      </c>
      <c r="P35" s="93" t="s">
        <v>443</v>
      </c>
      <c r="Q35" s="93" t="s">
        <v>83</v>
      </c>
    </row>
    <row r="36" spans="1:17" ht="32">
      <c r="A36" s="93" t="s">
        <v>444</v>
      </c>
      <c r="B36" s="93" t="s">
        <v>445</v>
      </c>
      <c r="C36" s="93" t="s">
        <v>446</v>
      </c>
      <c r="D36" s="94">
        <v>41224</v>
      </c>
      <c r="E36" s="94">
        <v>0</v>
      </c>
      <c r="F36" s="94" t="str">
        <f t="shared" si="1"/>
        <v>not same</v>
      </c>
      <c r="G36" s="95">
        <v>45565</v>
      </c>
      <c r="H36" s="93" t="s">
        <v>447</v>
      </c>
      <c r="I36" s="93" t="s">
        <v>296</v>
      </c>
      <c r="J36" s="96">
        <v>100</v>
      </c>
      <c r="K36" s="93" t="s">
        <v>325</v>
      </c>
      <c r="L36" s="96">
        <v>60</v>
      </c>
      <c r="M36" s="95">
        <v>45505</v>
      </c>
      <c r="N36" s="93" t="s">
        <v>147</v>
      </c>
      <c r="O36" s="93" t="s">
        <v>304</v>
      </c>
      <c r="P36" s="93" t="s">
        <v>448</v>
      </c>
      <c r="Q36" s="93" t="s">
        <v>83</v>
      </c>
    </row>
    <row r="37" spans="1:17" ht="32">
      <c r="A37" s="93" t="s">
        <v>449</v>
      </c>
      <c r="B37" s="93" t="s">
        <v>450</v>
      </c>
      <c r="C37" s="93" t="s">
        <v>308</v>
      </c>
      <c r="D37" s="94">
        <v>40551.839999999997</v>
      </c>
      <c r="E37" s="94">
        <v>0</v>
      </c>
      <c r="F37" s="94" t="str">
        <f t="shared" si="1"/>
        <v>not same</v>
      </c>
      <c r="G37" s="95">
        <v>45562</v>
      </c>
      <c r="H37" s="93" t="s">
        <v>451</v>
      </c>
      <c r="I37" s="93" t="s">
        <v>296</v>
      </c>
      <c r="J37" s="96">
        <v>100</v>
      </c>
      <c r="K37" s="93" t="s">
        <v>325</v>
      </c>
      <c r="L37" s="96">
        <v>7</v>
      </c>
      <c r="M37" s="95">
        <v>45555</v>
      </c>
      <c r="N37" s="93" t="s">
        <v>124</v>
      </c>
      <c r="O37" s="93" t="s">
        <v>298</v>
      </c>
      <c r="P37" s="93" t="s">
        <v>452</v>
      </c>
      <c r="Q37" s="93" t="s">
        <v>83</v>
      </c>
    </row>
    <row r="38" spans="1:17" ht="32">
      <c r="A38" s="93" t="s">
        <v>453</v>
      </c>
      <c r="B38" s="93" t="s">
        <v>454</v>
      </c>
      <c r="C38" s="93" t="s">
        <v>329</v>
      </c>
      <c r="D38" s="94">
        <v>40068</v>
      </c>
      <c r="E38" s="94">
        <v>0</v>
      </c>
      <c r="F38" s="94" t="str">
        <f t="shared" si="1"/>
        <v>not same</v>
      </c>
      <c r="G38" s="95">
        <v>45538</v>
      </c>
      <c r="H38" s="93" t="s">
        <v>455</v>
      </c>
      <c r="I38" s="93" t="s">
        <v>296</v>
      </c>
      <c r="J38" s="96">
        <v>100</v>
      </c>
      <c r="K38" s="93" t="s">
        <v>325</v>
      </c>
      <c r="L38" s="96">
        <v>27</v>
      </c>
      <c r="M38" s="95">
        <v>45511</v>
      </c>
      <c r="N38" s="93" t="s">
        <v>123</v>
      </c>
      <c r="O38" s="93" t="s">
        <v>298</v>
      </c>
      <c r="P38" s="93" t="s">
        <v>456</v>
      </c>
      <c r="Q38" s="93" t="s">
        <v>83</v>
      </c>
    </row>
    <row r="39" spans="1:17" ht="32">
      <c r="A39" s="93" t="s">
        <v>457</v>
      </c>
      <c r="B39" s="93" t="s">
        <v>458</v>
      </c>
      <c r="C39" s="93" t="s">
        <v>329</v>
      </c>
      <c r="D39" s="94">
        <v>39877.199999999997</v>
      </c>
      <c r="E39" s="94">
        <v>0</v>
      </c>
      <c r="F39" s="94" t="str">
        <f t="shared" si="1"/>
        <v>not same</v>
      </c>
      <c r="G39" s="95">
        <v>45334</v>
      </c>
      <c r="H39" s="93" t="s">
        <v>459</v>
      </c>
      <c r="I39" s="93" t="s">
        <v>296</v>
      </c>
      <c r="J39" s="96">
        <v>100</v>
      </c>
      <c r="K39" s="93" t="s">
        <v>303</v>
      </c>
      <c r="L39" s="96">
        <v>12</v>
      </c>
      <c r="M39" s="95">
        <v>45322</v>
      </c>
      <c r="N39" s="93" t="s">
        <v>123</v>
      </c>
      <c r="O39" s="93" t="s">
        <v>298</v>
      </c>
      <c r="P39" s="93" t="s">
        <v>460</v>
      </c>
      <c r="Q39" s="93" t="s">
        <v>83</v>
      </c>
    </row>
    <row r="40" spans="1:17" ht="32">
      <c r="A40" s="93" t="s">
        <v>461</v>
      </c>
      <c r="B40" s="93" t="s">
        <v>462</v>
      </c>
      <c r="C40" s="93" t="s">
        <v>308</v>
      </c>
      <c r="D40" s="94">
        <v>38307.24</v>
      </c>
      <c r="E40" s="94">
        <v>0</v>
      </c>
      <c r="F40" s="94" t="str">
        <f t="shared" si="1"/>
        <v>not same</v>
      </c>
      <c r="G40" s="95">
        <v>45519</v>
      </c>
      <c r="H40" s="93" t="s">
        <v>463</v>
      </c>
      <c r="I40" s="93" t="s">
        <v>296</v>
      </c>
      <c r="J40" s="96">
        <v>100</v>
      </c>
      <c r="K40" s="93" t="s">
        <v>325</v>
      </c>
      <c r="L40" s="96">
        <v>79</v>
      </c>
      <c r="M40" s="95">
        <v>45440</v>
      </c>
      <c r="N40" s="93" t="s">
        <v>128</v>
      </c>
      <c r="O40" s="93" t="s">
        <v>298</v>
      </c>
      <c r="P40" s="93" t="s">
        <v>464</v>
      </c>
      <c r="Q40" s="93" t="s">
        <v>83</v>
      </c>
    </row>
    <row r="41" spans="1:17" ht="32">
      <c r="A41" s="93" t="s">
        <v>465</v>
      </c>
      <c r="B41" s="93" t="s">
        <v>466</v>
      </c>
      <c r="C41" s="93" t="s">
        <v>308</v>
      </c>
      <c r="D41" s="94">
        <v>38075.4</v>
      </c>
      <c r="E41" s="94">
        <v>0</v>
      </c>
      <c r="F41" s="94" t="str">
        <f t="shared" si="1"/>
        <v>not same</v>
      </c>
      <c r="G41" s="95">
        <v>45338</v>
      </c>
      <c r="H41" s="93" t="s">
        <v>467</v>
      </c>
      <c r="I41" s="93" t="s">
        <v>296</v>
      </c>
      <c r="J41" s="96">
        <v>100</v>
      </c>
      <c r="K41" s="93" t="s">
        <v>303</v>
      </c>
      <c r="L41" s="96">
        <v>23</v>
      </c>
      <c r="M41" s="95">
        <v>45315</v>
      </c>
      <c r="N41" s="93" t="s">
        <v>125</v>
      </c>
      <c r="O41" s="93" t="s">
        <v>298</v>
      </c>
      <c r="P41" s="93" t="s">
        <v>468</v>
      </c>
      <c r="Q41" s="93" t="s">
        <v>83</v>
      </c>
    </row>
    <row r="42" spans="1:17" ht="32">
      <c r="A42" s="93" t="s">
        <v>469</v>
      </c>
      <c r="B42" s="93" t="s">
        <v>470</v>
      </c>
      <c r="C42" s="93" t="s">
        <v>308</v>
      </c>
      <c r="D42" s="94">
        <v>34507.199999999997</v>
      </c>
      <c r="E42" s="94">
        <v>0</v>
      </c>
      <c r="F42" s="94" t="str">
        <f t="shared" si="1"/>
        <v>not same</v>
      </c>
      <c r="G42" s="95">
        <v>45532</v>
      </c>
      <c r="H42" s="93" t="s">
        <v>471</v>
      </c>
      <c r="I42" s="93" t="s">
        <v>296</v>
      </c>
      <c r="J42" s="96">
        <v>100</v>
      </c>
      <c r="K42" s="93" t="s">
        <v>325</v>
      </c>
      <c r="L42" s="96">
        <v>42</v>
      </c>
      <c r="M42" s="95">
        <v>45490</v>
      </c>
      <c r="N42" s="93" t="s">
        <v>128</v>
      </c>
      <c r="O42" s="93" t="s">
        <v>298</v>
      </c>
      <c r="P42" s="93" t="s">
        <v>472</v>
      </c>
      <c r="Q42" s="93" t="s">
        <v>83</v>
      </c>
    </row>
    <row r="43" spans="1:17" ht="32">
      <c r="A43" s="93" t="s">
        <v>473</v>
      </c>
      <c r="B43" s="93" t="s">
        <v>474</v>
      </c>
      <c r="C43" s="93" t="s">
        <v>315</v>
      </c>
      <c r="D43" s="94">
        <v>34223.5</v>
      </c>
      <c r="E43" s="94">
        <v>0</v>
      </c>
      <c r="F43" s="94" t="str">
        <f t="shared" si="1"/>
        <v>not same</v>
      </c>
      <c r="G43" s="95">
        <v>45467</v>
      </c>
      <c r="H43" s="93" t="s">
        <v>475</v>
      </c>
      <c r="I43" s="93" t="s">
        <v>296</v>
      </c>
      <c r="J43" s="96">
        <v>100</v>
      </c>
      <c r="K43" s="93" t="s">
        <v>310</v>
      </c>
      <c r="L43" s="96">
        <v>25</v>
      </c>
      <c r="M43" s="95">
        <v>45442</v>
      </c>
      <c r="N43" s="93" t="s">
        <v>126</v>
      </c>
      <c r="O43" s="93" t="s">
        <v>298</v>
      </c>
      <c r="P43" s="93" t="s">
        <v>476</v>
      </c>
      <c r="Q43" s="93" t="s">
        <v>83</v>
      </c>
    </row>
    <row r="44" spans="1:17" ht="32">
      <c r="A44" s="93" t="s">
        <v>477</v>
      </c>
      <c r="B44" s="93" t="s">
        <v>478</v>
      </c>
      <c r="C44" s="93" t="s">
        <v>396</v>
      </c>
      <c r="D44" s="94">
        <v>33888.400000000001</v>
      </c>
      <c r="E44" s="94">
        <v>11860.94</v>
      </c>
      <c r="F44" s="94" t="str">
        <f t="shared" si="1"/>
        <v>not same</v>
      </c>
      <c r="G44" s="95">
        <v>45583</v>
      </c>
      <c r="H44" s="93" t="s">
        <v>479</v>
      </c>
      <c r="I44" s="93" t="s">
        <v>296</v>
      </c>
      <c r="J44" s="96">
        <v>100</v>
      </c>
      <c r="K44" s="93" t="s">
        <v>297</v>
      </c>
      <c r="L44" s="96">
        <v>8</v>
      </c>
      <c r="M44" s="95">
        <v>45575</v>
      </c>
      <c r="N44" s="93" t="s">
        <v>132</v>
      </c>
      <c r="O44" s="93" t="s">
        <v>311</v>
      </c>
      <c r="P44" s="93" t="s">
        <v>480</v>
      </c>
      <c r="Q44" s="93" t="s">
        <v>83</v>
      </c>
    </row>
    <row r="45" spans="1:17" ht="32">
      <c r="A45" s="93" t="s">
        <v>481</v>
      </c>
      <c r="B45" s="93" t="s">
        <v>482</v>
      </c>
      <c r="C45" s="93" t="s">
        <v>308</v>
      </c>
      <c r="D45" s="94">
        <v>32125.56</v>
      </c>
      <c r="E45" s="94">
        <v>0</v>
      </c>
      <c r="F45" s="94" t="str">
        <f t="shared" si="1"/>
        <v>not same</v>
      </c>
      <c r="G45" s="95">
        <v>45565</v>
      </c>
      <c r="H45" s="93" t="s">
        <v>483</v>
      </c>
      <c r="I45" s="93" t="s">
        <v>296</v>
      </c>
      <c r="J45" s="96">
        <v>100</v>
      </c>
      <c r="K45" s="93" t="s">
        <v>325</v>
      </c>
      <c r="L45" s="96">
        <v>11</v>
      </c>
      <c r="M45" s="95">
        <v>45554</v>
      </c>
      <c r="N45" s="93" t="s">
        <v>124</v>
      </c>
      <c r="O45" s="93" t="s">
        <v>298</v>
      </c>
      <c r="P45" s="93" t="s">
        <v>484</v>
      </c>
      <c r="Q45" s="93" t="s">
        <v>83</v>
      </c>
    </row>
    <row r="46" spans="1:17" ht="32">
      <c r="A46" s="93" t="s">
        <v>485</v>
      </c>
      <c r="B46" s="93" t="s">
        <v>486</v>
      </c>
      <c r="C46" s="93" t="s">
        <v>294</v>
      </c>
      <c r="D46" s="94">
        <v>30060</v>
      </c>
      <c r="E46" s="94">
        <v>0</v>
      </c>
      <c r="F46" s="94" t="str">
        <f t="shared" si="1"/>
        <v>not same</v>
      </c>
      <c r="G46" s="95">
        <v>45392</v>
      </c>
      <c r="H46" s="93" t="s">
        <v>487</v>
      </c>
      <c r="I46" s="93" t="s">
        <v>296</v>
      </c>
      <c r="J46" s="96">
        <v>100</v>
      </c>
      <c r="K46" s="93" t="s">
        <v>310</v>
      </c>
      <c r="L46" s="96">
        <v>27</v>
      </c>
      <c r="M46" s="95">
        <v>45365</v>
      </c>
      <c r="N46" s="93" t="s">
        <v>125</v>
      </c>
      <c r="O46" s="93" t="s">
        <v>298</v>
      </c>
      <c r="P46" s="93" t="s">
        <v>488</v>
      </c>
      <c r="Q46" s="93" t="s">
        <v>83</v>
      </c>
    </row>
    <row r="47" spans="1:17" ht="32">
      <c r="A47" s="93" t="s">
        <v>489</v>
      </c>
      <c r="B47" s="93" t="s">
        <v>490</v>
      </c>
      <c r="C47" s="93" t="s">
        <v>329</v>
      </c>
      <c r="D47" s="94">
        <v>30000</v>
      </c>
      <c r="E47" s="94">
        <v>0</v>
      </c>
      <c r="F47" s="94" t="str">
        <f t="shared" si="1"/>
        <v>not same</v>
      </c>
      <c r="G47" s="95">
        <v>45316</v>
      </c>
      <c r="H47" s="93" t="s">
        <v>491</v>
      </c>
      <c r="I47" s="93" t="s">
        <v>296</v>
      </c>
      <c r="J47" s="96">
        <v>100</v>
      </c>
      <c r="K47" s="93" t="s">
        <v>303</v>
      </c>
      <c r="L47" s="96">
        <v>193</v>
      </c>
      <c r="M47" s="95">
        <v>45123</v>
      </c>
      <c r="N47" s="93" t="s">
        <v>130</v>
      </c>
      <c r="O47" s="93" t="s">
        <v>311</v>
      </c>
      <c r="P47" s="93" t="s">
        <v>492</v>
      </c>
      <c r="Q47" s="93" t="s">
        <v>83</v>
      </c>
    </row>
    <row r="48" spans="1:17" ht="32">
      <c r="A48" s="93" t="s">
        <v>493</v>
      </c>
      <c r="B48" s="93" t="s">
        <v>494</v>
      </c>
      <c r="C48" s="93" t="s">
        <v>315</v>
      </c>
      <c r="D48" s="94">
        <v>28800</v>
      </c>
      <c r="E48" s="94">
        <v>0</v>
      </c>
      <c r="F48" s="94" t="str">
        <f t="shared" si="1"/>
        <v>not same</v>
      </c>
      <c r="G48" s="95">
        <v>45351</v>
      </c>
      <c r="H48" s="93" t="s">
        <v>495</v>
      </c>
      <c r="I48" s="93" t="s">
        <v>296</v>
      </c>
      <c r="J48" s="96">
        <v>100</v>
      </c>
      <c r="K48" s="93" t="s">
        <v>303</v>
      </c>
      <c r="L48" s="96">
        <v>392</v>
      </c>
      <c r="M48" s="95">
        <v>44959</v>
      </c>
      <c r="N48" s="93" t="s">
        <v>126</v>
      </c>
      <c r="O48" s="93" t="s">
        <v>298</v>
      </c>
      <c r="P48" s="93" t="s">
        <v>496</v>
      </c>
      <c r="Q48" s="93" t="s">
        <v>83</v>
      </c>
    </row>
    <row r="49" spans="1:17" ht="32">
      <c r="A49" s="93" t="s">
        <v>497</v>
      </c>
      <c r="B49" s="93" t="s">
        <v>498</v>
      </c>
      <c r="C49" s="93" t="s">
        <v>308</v>
      </c>
      <c r="D49" s="94">
        <v>28694.94</v>
      </c>
      <c r="E49" s="94">
        <v>0</v>
      </c>
      <c r="F49" s="94" t="str">
        <f t="shared" si="1"/>
        <v>not same</v>
      </c>
      <c r="G49" s="95">
        <v>45378</v>
      </c>
      <c r="H49" s="93" t="s">
        <v>499</v>
      </c>
      <c r="I49" s="93" t="s">
        <v>296</v>
      </c>
      <c r="J49" s="96">
        <v>100</v>
      </c>
      <c r="K49" s="93" t="s">
        <v>303</v>
      </c>
      <c r="L49" s="96">
        <v>2</v>
      </c>
      <c r="M49" s="95">
        <v>45376</v>
      </c>
      <c r="N49" s="93" t="s">
        <v>124</v>
      </c>
      <c r="O49" s="93" t="s">
        <v>298</v>
      </c>
      <c r="P49" s="93" t="s">
        <v>500</v>
      </c>
      <c r="Q49" s="93" t="s">
        <v>83</v>
      </c>
    </row>
    <row r="50" spans="1:17" ht="32">
      <c r="A50" s="93" t="s">
        <v>501</v>
      </c>
      <c r="B50" s="93" t="s">
        <v>502</v>
      </c>
      <c r="C50" s="93" t="s">
        <v>329</v>
      </c>
      <c r="D50" s="94">
        <v>28604.880000000001</v>
      </c>
      <c r="E50" s="94">
        <v>0</v>
      </c>
      <c r="F50" s="94" t="str">
        <f t="shared" si="1"/>
        <v>not same</v>
      </c>
      <c r="G50" s="95">
        <v>45481</v>
      </c>
      <c r="H50" s="93" t="s">
        <v>503</v>
      </c>
      <c r="I50" s="93" t="s">
        <v>296</v>
      </c>
      <c r="J50" s="96">
        <v>100</v>
      </c>
      <c r="K50" s="93" t="s">
        <v>325</v>
      </c>
      <c r="L50" s="96">
        <v>12</v>
      </c>
      <c r="M50" s="95">
        <v>45469</v>
      </c>
      <c r="N50" s="93" t="s">
        <v>123</v>
      </c>
      <c r="O50" s="93" t="s">
        <v>298</v>
      </c>
      <c r="P50" s="93" t="s">
        <v>504</v>
      </c>
      <c r="Q50" s="93" t="s">
        <v>83</v>
      </c>
    </row>
    <row r="51" spans="1:17" ht="32">
      <c r="A51" s="93" t="s">
        <v>505</v>
      </c>
      <c r="B51" s="93" t="s">
        <v>506</v>
      </c>
      <c r="C51" s="93" t="s">
        <v>507</v>
      </c>
      <c r="D51" s="94">
        <v>26463.72</v>
      </c>
      <c r="E51" s="94">
        <v>2940.41</v>
      </c>
      <c r="F51" s="94" t="str">
        <f t="shared" si="1"/>
        <v>not same</v>
      </c>
      <c r="G51" s="95">
        <v>45560</v>
      </c>
      <c r="H51" s="93" t="s">
        <v>508</v>
      </c>
      <c r="I51" s="93" t="s">
        <v>296</v>
      </c>
      <c r="J51" s="96">
        <v>100</v>
      </c>
      <c r="K51" s="93" t="s">
        <v>325</v>
      </c>
      <c r="L51" s="96">
        <v>1</v>
      </c>
      <c r="M51" s="95">
        <v>45559</v>
      </c>
      <c r="N51" s="93" t="s">
        <v>136</v>
      </c>
      <c r="O51" s="93" t="s">
        <v>509</v>
      </c>
      <c r="P51" s="93" t="s">
        <v>510</v>
      </c>
      <c r="Q51" s="93" t="s">
        <v>83</v>
      </c>
    </row>
    <row r="52" spans="1:17" ht="32">
      <c r="A52" s="93" t="s">
        <v>511</v>
      </c>
      <c r="B52" s="93" t="s">
        <v>512</v>
      </c>
      <c r="C52" s="93" t="s">
        <v>513</v>
      </c>
      <c r="D52" s="94">
        <v>26145.72</v>
      </c>
      <c r="E52" s="94">
        <v>0</v>
      </c>
      <c r="F52" s="94" t="str">
        <f t="shared" si="1"/>
        <v>not same</v>
      </c>
      <c r="G52" s="95">
        <v>45412</v>
      </c>
      <c r="H52" s="93" t="s">
        <v>514</v>
      </c>
      <c r="I52" s="93" t="s">
        <v>296</v>
      </c>
      <c r="J52" s="96">
        <v>100</v>
      </c>
      <c r="K52" s="93" t="s">
        <v>310</v>
      </c>
      <c r="L52" s="96">
        <v>7</v>
      </c>
      <c r="M52" s="95">
        <v>45405</v>
      </c>
      <c r="N52" s="93" t="s">
        <v>123</v>
      </c>
      <c r="O52" s="93" t="s">
        <v>298</v>
      </c>
      <c r="P52" s="93" t="s">
        <v>515</v>
      </c>
      <c r="Q52" s="93" t="s">
        <v>83</v>
      </c>
    </row>
    <row r="53" spans="1:17" ht="32">
      <c r="A53" s="93" t="s">
        <v>516</v>
      </c>
      <c r="B53" s="93" t="s">
        <v>517</v>
      </c>
      <c r="C53" s="93" t="s">
        <v>396</v>
      </c>
      <c r="D53" s="94">
        <v>21760</v>
      </c>
      <c r="E53" s="94">
        <v>7616</v>
      </c>
      <c r="F53" s="94" t="str">
        <f t="shared" si="1"/>
        <v>not same</v>
      </c>
      <c r="G53" s="95">
        <v>45583</v>
      </c>
      <c r="H53" s="93" t="s">
        <v>518</v>
      </c>
      <c r="I53" s="93" t="s">
        <v>296</v>
      </c>
      <c r="J53" s="96">
        <v>100</v>
      </c>
      <c r="K53" s="93" t="s">
        <v>297</v>
      </c>
      <c r="L53" s="96">
        <v>422</v>
      </c>
      <c r="M53" s="95">
        <v>45161</v>
      </c>
      <c r="N53" s="93" t="s">
        <v>133</v>
      </c>
      <c r="O53" s="93" t="s">
        <v>311</v>
      </c>
      <c r="P53" s="93" t="s">
        <v>519</v>
      </c>
      <c r="Q53" s="93" t="s">
        <v>83</v>
      </c>
    </row>
    <row r="54" spans="1:17" ht="32">
      <c r="A54" s="93" t="s">
        <v>520</v>
      </c>
      <c r="B54" s="93" t="s">
        <v>521</v>
      </c>
      <c r="C54" s="93" t="s">
        <v>396</v>
      </c>
      <c r="D54" s="94">
        <v>20000</v>
      </c>
      <c r="E54" s="94">
        <v>7000</v>
      </c>
      <c r="F54" s="94" t="str">
        <f t="shared" si="1"/>
        <v>not same</v>
      </c>
      <c r="G54" s="95">
        <v>45322</v>
      </c>
      <c r="H54" s="93" t="s">
        <v>522</v>
      </c>
      <c r="I54" s="93" t="s">
        <v>296</v>
      </c>
      <c r="J54" s="96">
        <v>100</v>
      </c>
      <c r="K54" s="93" t="s">
        <v>303</v>
      </c>
      <c r="L54" s="96">
        <v>258</v>
      </c>
      <c r="M54" s="95">
        <v>45064</v>
      </c>
      <c r="N54" s="93" t="s">
        <v>147</v>
      </c>
      <c r="O54" s="93" t="s">
        <v>304</v>
      </c>
      <c r="P54" s="93" t="s">
        <v>523</v>
      </c>
      <c r="Q54" s="93" t="s">
        <v>83</v>
      </c>
    </row>
    <row r="55" spans="1:17" ht="32">
      <c r="A55" s="93" t="s">
        <v>524</v>
      </c>
      <c r="B55" s="93" t="s">
        <v>395</v>
      </c>
      <c r="C55" s="93" t="s">
        <v>396</v>
      </c>
      <c r="D55" s="94">
        <v>18600</v>
      </c>
      <c r="E55" s="94">
        <v>6510</v>
      </c>
      <c r="F55" s="94" t="str">
        <f t="shared" si="1"/>
        <v>not same</v>
      </c>
      <c r="G55" s="95">
        <v>45379</v>
      </c>
      <c r="H55" s="93" t="s">
        <v>525</v>
      </c>
      <c r="I55" s="93" t="s">
        <v>296</v>
      </c>
      <c r="J55" s="96">
        <v>100</v>
      </c>
      <c r="K55" s="93" t="s">
        <v>303</v>
      </c>
      <c r="L55" s="96">
        <v>65</v>
      </c>
      <c r="M55" s="95">
        <v>45314</v>
      </c>
      <c r="N55" s="93" t="s">
        <v>128</v>
      </c>
      <c r="O55" s="93" t="s">
        <v>298</v>
      </c>
      <c r="P55" s="93" t="s">
        <v>398</v>
      </c>
      <c r="Q55" s="93" t="s">
        <v>83</v>
      </c>
    </row>
    <row r="56" spans="1:17" ht="32">
      <c r="A56" s="93" t="s">
        <v>526</v>
      </c>
      <c r="B56" s="93" t="s">
        <v>527</v>
      </c>
      <c r="C56" s="93" t="s">
        <v>396</v>
      </c>
      <c r="D56" s="94">
        <v>16000</v>
      </c>
      <c r="E56" s="94">
        <v>5600</v>
      </c>
      <c r="F56" s="94" t="str">
        <f t="shared" si="1"/>
        <v>not same</v>
      </c>
      <c r="G56" s="95">
        <v>45351</v>
      </c>
      <c r="H56" s="93" t="s">
        <v>528</v>
      </c>
      <c r="I56" s="93" t="s">
        <v>296</v>
      </c>
      <c r="J56" s="96">
        <v>100</v>
      </c>
      <c r="K56" s="93" t="s">
        <v>303</v>
      </c>
      <c r="L56" s="96">
        <v>136</v>
      </c>
      <c r="M56" s="95">
        <v>45215</v>
      </c>
      <c r="N56" s="93" t="s">
        <v>134</v>
      </c>
      <c r="O56" s="93" t="s">
        <v>311</v>
      </c>
      <c r="P56" s="93" t="s">
        <v>529</v>
      </c>
      <c r="Q56" s="93" t="s">
        <v>83</v>
      </c>
    </row>
    <row r="57" spans="1:17" ht="32">
      <c r="A57" s="93" t="s">
        <v>530</v>
      </c>
      <c r="B57" s="93" t="s">
        <v>531</v>
      </c>
      <c r="C57" s="93" t="s">
        <v>329</v>
      </c>
      <c r="D57" s="94">
        <v>15991.93</v>
      </c>
      <c r="E57" s="94">
        <v>12608.04</v>
      </c>
      <c r="F57" s="94" t="str">
        <f t="shared" si="1"/>
        <v>not same</v>
      </c>
      <c r="G57" s="95">
        <v>45622</v>
      </c>
      <c r="H57" s="93" t="s">
        <v>532</v>
      </c>
      <c r="I57" s="93" t="s">
        <v>296</v>
      </c>
      <c r="J57" s="96">
        <v>100</v>
      </c>
      <c r="K57" s="93" t="s">
        <v>297</v>
      </c>
      <c r="L57" s="96">
        <v>188</v>
      </c>
      <c r="M57" s="95">
        <v>45434</v>
      </c>
      <c r="N57" s="93" t="s">
        <v>140</v>
      </c>
      <c r="O57" s="93" t="s">
        <v>509</v>
      </c>
      <c r="P57" s="93" t="s">
        <v>533</v>
      </c>
      <c r="Q57" s="93" t="s">
        <v>83</v>
      </c>
    </row>
    <row r="58" spans="1:17" ht="32">
      <c r="A58" s="93" t="s">
        <v>534</v>
      </c>
      <c r="B58" s="93" t="s">
        <v>535</v>
      </c>
      <c r="C58" s="93" t="s">
        <v>396</v>
      </c>
      <c r="D58" s="94">
        <v>14000</v>
      </c>
      <c r="E58" s="94">
        <v>4900</v>
      </c>
      <c r="F58" s="94" t="str">
        <f t="shared" si="1"/>
        <v>not same</v>
      </c>
      <c r="G58" s="95">
        <v>45322</v>
      </c>
      <c r="H58" s="93" t="s">
        <v>536</v>
      </c>
      <c r="I58" s="93" t="s">
        <v>296</v>
      </c>
      <c r="J58" s="96">
        <v>100</v>
      </c>
      <c r="K58" s="93" t="s">
        <v>303</v>
      </c>
      <c r="L58" s="96">
        <v>505</v>
      </c>
      <c r="M58" s="95">
        <v>44817</v>
      </c>
      <c r="N58" s="93" t="s">
        <v>140</v>
      </c>
      <c r="O58" s="93" t="s">
        <v>509</v>
      </c>
      <c r="P58" s="93" t="s">
        <v>537</v>
      </c>
      <c r="Q58" s="93" t="s">
        <v>83</v>
      </c>
    </row>
    <row r="59" spans="1:17" ht="32">
      <c r="A59" s="93" t="s">
        <v>538</v>
      </c>
      <c r="B59" s="93" t="s">
        <v>539</v>
      </c>
      <c r="C59" s="93" t="s">
        <v>315</v>
      </c>
      <c r="D59" s="94">
        <v>10859.29</v>
      </c>
      <c r="E59" s="94">
        <v>6778.37</v>
      </c>
      <c r="F59" s="94" t="str">
        <f t="shared" si="1"/>
        <v>not same</v>
      </c>
      <c r="G59" s="95">
        <v>45652</v>
      </c>
      <c r="H59" s="93" t="s">
        <v>540</v>
      </c>
      <c r="I59" s="93" t="s">
        <v>296</v>
      </c>
      <c r="J59" s="96">
        <v>100</v>
      </c>
      <c r="K59" s="93" t="s">
        <v>297</v>
      </c>
      <c r="L59" s="96">
        <v>0</v>
      </c>
      <c r="M59" s="95">
        <v>45656</v>
      </c>
      <c r="N59" s="93" t="s">
        <v>123</v>
      </c>
      <c r="O59" s="93" t="s">
        <v>298</v>
      </c>
      <c r="P59" s="93" t="s">
        <v>541</v>
      </c>
      <c r="Q59" s="93" t="s">
        <v>83</v>
      </c>
    </row>
    <row r="60" spans="1:17" ht="32">
      <c r="A60" s="93" t="s">
        <v>542</v>
      </c>
      <c r="B60" s="93" t="s">
        <v>543</v>
      </c>
      <c r="C60" s="93" t="s">
        <v>544</v>
      </c>
      <c r="D60" s="94">
        <v>10705.97</v>
      </c>
      <c r="E60" s="94">
        <v>7647.12</v>
      </c>
      <c r="F60" s="94" t="str">
        <f t="shared" si="1"/>
        <v>not same</v>
      </c>
      <c r="G60" s="95">
        <v>45314</v>
      </c>
      <c r="H60" s="93" t="s">
        <v>545</v>
      </c>
      <c r="I60" s="93" t="s">
        <v>296</v>
      </c>
      <c r="J60" s="96">
        <v>100</v>
      </c>
      <c r="K60" s="93" t="s">
        <v>303</v>
      </c>
      <c r="L60" s="96">
        <v>0</v>
      </c>
      <c r="M60" s="95">
        <v>45315</v>
      </c>
      <c r="N60" s="93" t="s">
        <v>135</v>
      </c>
      <c r="O60" s="93" t="s">
        <v>311</v>
      </c>
      <c r="P60" s="93" t="s">
        <v>546</v>
      </c>
      <c r="Q60" s="93" t="s">
        <v>83</v>
      </c>
    </row>
    <row r="61" spans="1:17" ht="32">
      <c r="A61" s="93" t="s">
        <v>547</v>
      </c>
      <c r="B61" s="93" t="s">
        <v>548</v>
      </c>
      <c r="C61" s="93" t="s">
        <v>396</v>
      </c>
      <c r="D61" s="94">
        <v>9999</v>
      </c>
      <c r="E61" s="94">
        <v>3499.65</v>
      </c>
      <c r="F61" s="94" t="str">
        <f t="shared" si="1"/>
        <v>not same</v>
      </c>
      <c r="G61" s="95">
        <v>45636</v>
      </c>
      <c r="H61" s="93" t="s">
        <v>549</v>
      </c>
      <c r="I61" s="93" t="s">
        <v>296</v>
      </c>
      <c r="J61" s="96">
        <v>100</v>
      </c>
      <c r="K61" s="93" t="s">
        <v>297</v>
      </c>
      <c r="L61" s="96">
        <v>1</v>
      </c>
      <c r="M61" s="95">
        <v>45635</v>
      </c>
      <c r="N61" s="93" t="s">
        <v>138</v>
      </c>
      <c r="O61" s="93" t="s">
        <v>509</v>
      </c>
      <c r="P61" s="93" t="s">
        <v>550</v>
      </c>
      <c r="Q61" s="93" t="s">
        <v>83</v>
      </c>
    </row>
    <row r="62" spans="1:17" ht="32">
      <c r="A62" s="93" t="s">
        <v>551</v>
      </c>
      <c r="B62" s="93" t="s">
        <v>552</v>
      </c>
      <c r="C62" s="93" t="s">
        <v>396</v>
      </c>
      <c r="D62" s="94">
        <v>8400</v>
      </c>
      <c r="E62" s="94">
        <v>2940</v>
      </c>
      <c r="F62" s="94" t="str">
        <f t="shared" si="1"/>
        <v>not same</v>
      </c>
      <c r="G62" s="95">
        <v>45372</v>
      </c>
      <c r="H62" s="93" t="s">
        <v>553</v>
      </c>
      <c r="I62" s="93" t="s">
        <v>296</v>
      </c>
      <c r="J62" s="96">
        <v>100</v>
      </c>
      <c r="K62" s="93" t="s">
        <v>303</v>
      </c>
      <c r="L62" s="96">
        <v>328</v>
      </c>
      <c r="M62" s="95">
        <v>45044</v>
      </c>
      <c r="N62" s="93" t="s">
        <v>130</v>
      </c>
      <c r="O62" s="93" t="s">
        <v>311</v>
      </c>
      <c r="P62" s="93" t="s">
        <v>554</v>
      </c>
      <c r="Q62" s="93" t="s">
        <v>83</v>
      </c>
    </row>
    <row r="63" spans="1:17" ht="32">
      <c r="A63" s="93" t="s">
        <v>555</v>
      </c>
      <c r="B63" s="93" t="s">
        <v>556</v>
      </c>
      <c r="C63" s="93" t="s">
        <v>396</v>
      </c>
      <c r="D63" s="94">
        <v>8100</v>
      </c>
      <c r="E63" s="94">
        <v>2835</v>
      </c>
      <c r="F63" s="94" t="str">
        <f t="shared" si="1"/>
        <v>not same</v>
      </c>
      <c r="G63" s="95">
        <v>45504</v>
      </c>
      <c r="H63" s="93" t="s">
        <v>557</v>
      </c>
      <c r="I63" s="93" t="s">
        <v>296</v>
      </c>
      <c r="J63" s="96">
        <v>100</v>
      </c>
      <c r="K63" s="93" t="s">
        <v>325</v>
      </c>
      <c r="L63" s="96">
        <v>71</v>
      </c>
      <c r="M63" s="95">
        <v>45433</v>
      </c>
      <c r="N63" s="93" t="s">
        <v>142</v>
      </c>
      <c r="O63" s="93" t="s">
        <v>304</v>
      </c>
      <c r="P63" s="93" t="s">
        <v>558</v>
      </c>
      <c r="Q63" s="93" t="s">
        <v>83</v>
      </c>
    </row>
    <row r="64" spans="1:17" ht="32">
      <c r="A64" s="93" t="s">
        <v>559</v>
      </c>
      <c r="B64" s="93" t="s">
        <v>560</v>
      </c>
      <c r="C64" s="93" t="s">
        <v>396</v>
      </c>
      <c r="D64" s="94">
        <v>7600</v>
      </c>
      <c r="E64" s="94">
        <v>2660</v>
      </c>
      <c r="F64" s="94" t="str">
        <f t="shared" si="1"/>
        <v>not same</v>
      </c>
      <c r="G64" s="95">
        <v>45643</v>
      </c>
      <c r="H64" s="93" t="s">
        <v>561</v>
      </c>
      <c r="I64" s="93" t="s">
        <v>296</v>
      </c>
      <c r="J64" s="96">
        <v>100</v>
      </c>
      <c r="K64" s="93" t="s">
        <v>297</v>
      </c>
      <c r="L64" s="96">
        <v>145</v>
      </c>
      <c r="M64" s="95">
        <v>45498</v>
      </c>
      <c r="N64" s="93" t="s">
        <v>144</v>
      </c>
      <c r="O64" s="93" t="s">
        <v>304</v>
      </c>
      <c r="P64" s="93" t="s">
        <v>562</v>
      </c>
      <c r="Q64" s="93" t="s">
        <v>83</v>
      </c>
    </row>
    <row r="65" spans="1:17" ht="32">
      <c r="A65" s="93" t="s">
        <v>563</v>
      </c>
      <c r="B65" s="93" t="s">
        <v>564</v>
      </c>
      <c r="C65" s="93" t="s">
        <v>396</v>
      </c>
      <c r="D65" s="94">
        <v>7500</v>
      </c>
      <c r="E65" s="94">
        <v>2625</v>
      </c>
      <c r="F65" s="94" t="str">
        <f t="shared" si="1"/>
        <v>not same</v>
      </c>
      <c r="G65" s="95">
        <v>45344</v>
      </c>
      <c r="H65" s="93" t="s">
        <v>565</v>
      </c>
      <c r="I65" s="93" t="s">
        <v>296</v>
      </c>
      <c r="J65" s="96">
        <v>100</v>
      </c>
      <c r="K65" s="93" t="s">
        <v>303</v>
      </c>
      <c r="L65" s="96">
        <v>8</v>
      </c>
      <c r="M65" s="95">
        <v>45336</v>
      </c>
      <c r="N65" s="93" t="s">
        <v>139</v>
      </c>
      <c r="O65" s="93" t="s">
        <v>509</v>
      </c>
      <c r="P65" s="93" t="s">
        <v>566</v>
      </c>
      <c r="Q65" s="93" t="s">
        <v>83</v>
      </c>
    </row>
    <row r="66" spans="1:17" ht="32">
      <c r="A66" s="93" t="s">
        <v>567</v>
      </c>
      <c r="B66" s="93" t="s">
        <v>568</v>
      </c>
      <c r="C66" s="93" t="s">
        <v>308</v>
      </c>
      <c r="D66" s="94">
        <v>7200</v>
      </c>
      <c r="E66" s="94">
        <v>0</v>
      </c>
      <c r="F66" s="94" t="str">
        <f t="shared" ref="F66:F88" si="2">IF(D66=E66, "same", "not same")</f>
        <v>not same</v>
      </c>
      <c r="G66" s="95">
        <v>45349</v>
      </c>
      <c r="H66" s="93" t="s">
        <v>569</v>
      </c>
      <c r="I66" s="93" t="s">
        <v>296</v>
      </c>
      <c r="J66" s="96">
        <v>100</v>
      </c>
      <c r="K66" s="93" t="s">
        <v>303</v>
      </c>
      <c r="L66" s="96">
        <v>33</v>
      </c>
      <c r="M66" s="95">
        <v>45316</v>
      </c>
      <c r="N66" s="93" t="s">
        <v>124</v>
      </c>
      <c r="O66" s="93" t="s">
        <v>298</v>
      </c>
      <c r="P66" s="93" t="s">
        <v>570</v>
      </c>
      <c r="Q66" s="93" t="s">
        <v>83</v>
      </c>
    </row>
    <row r="67" spans="1:17" ht="32">
      <c r="A67" s="93" t="s">
        <v>571</v>
      </c>
      <c r="B67" s="93" t="s">
        <v>572</v>
      </c>
      <c r="C67" s="93" t="s">
        <v>396</v>
      </c>
      <c r="D67" s="94">
        <v>7118.51</v>
      </c>
      <c r="E67" s="94">
        <v>2491.48</v>
      </c>
      <c r="F67" s="94" t="str">
        <f t="shared" si="2"/>
        <v>not same</v>
      </c>
      <c r="G67" s="95">
        <v>45643</v>
      </c>
      <c r="H67" s="93" t="s">
        <v>573</v>
      </c>
      <c r="I67" s="93" t="s">
        <v>296</v>
      </c>
      <c r="J67" s="96">
        <v>100</v>
      </c>
      <c r="K67" s="93" t="s">
        <v>297</v>
      </c>
      <c r="L67" s="96">
        <v>8</v>
      </c>
      <c r="M67" s="95">
        <v>45635</v>
      </c>
      <c r="N67" s="93" t="s">
        <v>139</v>
      </c>
      <c r="O67" s="93" t="s">
        <v>509</v>
      </c>
      <c r="P67" s="93" t="s">
        <v>574</v>
      </c>
      <c r="Q67" s="93" t="s">
        <v>83</v>
      </c>
    </row>
    <row r="68" spans="1:17" ht="32">
      <c r="A68" s="93" t="s">
        <v>575</v>
      </c>
      <c r="B68" s="93" t="s">
        <v>576</v>
      </c>
      <c r="C68" s="93" t="s">
        <v>396</v>
      </c>
      <c r="D68" s="94">
        <v>6500</v>
      </c>
      <c r="E68" s="94">
        <v>2275</v>
      </c>
      <c r="F68" s="94" t="str">
        <f t="shared" si="2"/>
        <v>not same</v>
      </c>
      <c r="G68" s="95">
        <v>45322</v>
      </c>
      <c r="H68" s="93" t="s">
        <v>577</v>
      </c>
      <c r="I68" s="93" t="s">
        <v>296</v>
      </c>
      <c r="J68" s="96">
        <v>100</v>
      </c>
      <c r="K68" s="93" t="s">
        <v>303</v>
      </c>
      <c r="L68" s="96">
        <v>58</v>
      </c>
      <c r="M68" s="95">
        <v>45264</v>
      </c>
      <c r="N68" s="93" t="s">
        <v>128</v>
      </c>
      <c r="O68" s="93" t="s">
        <v>298</v>
      </c>
      <c r="P68" s="93" t="s">
        <v>578</v>
      </c>
      <c r="Q68" s="93" t="s">
        <v>83</v>
      </c>
    </row>
    <row r="69" spans="1:17" ht="32">
      <c r="A69" s="93" t="s">
        <v>579</v>
      </c>
      <c r="B69" s="93" t="s">
        <v>580</v>
      </c>
      <c r="C69" s="93" t="s">
        <v>396</v>
      </c>
      <c r="D69" s="94">
        <v>5500</v>
      </c>
      <c r="E69" s="94">
        <v>1925</v>
      </c>
      <c r="F69" s="94" t="str">
        <f t="shared" si="2"/>
        <v>not same</v>
      </c>
      <c r="G69" s="95">
        <v>45398</v>
      </c>
      <c r="H69" s="93" t="s">
        <v>581</v>
      </c>
      <c r="I69" s="93" t="s">
        <v>296</v>
      </c>
      <c r="J69" s="96">
        <v>100</v>
      </c>
      <c r="K69" s="93" t="s">
        <v>310</v>
      </c>
      <c r="L69" s="96">
        <v>1</v>
      </c>
      <c r="M69" s="95">
        <v>45397</v>
      </c>
      <c r="N69" s="93" t="s">
        <v>132</v>
      </c>
      <c r="O69" s="93" t="s">
        <v>311</v>
      </c>
      <c r="P69" s="93" t="s">
        <v>582</v>
      </c>
      <c r="Q69" s="93" t="s">
        <v>83</v>
      </c>
    </row>
    <row r="70" spans="1:17" ht="32">
      <c r="A70" s="93" t="s">
        <v>583</v>
      </c>
      <c r="B70" s="93" t="s">
        <v>584</v>
      </c>
      <c r="C70" s="93" t="s">
        <v>396</v>
      </c>
      <c r="D70" s="94">
        <v>5500</v>
      </c>
      <c r="E70" s="94">
        <v>1925</v>
      </c>
      <c r="F70" s="94" t="str">
        <f t="shared" si="2"/>
        <v>not same</v>
      </c>
      <c r="G70" s="95">
        <v>45643</v>
      </c>
      <c r="H70" s="93" t="s">
        <v>585</v>
      </c>
      <c r="I70" s="93" t="s">
        <v>296</v>
      </c>
      <c r="J70" s="96">
        <v>100</v>
      </c>
      <c r="K70" s="93" t="s">
        <v>297</v>
      </c>
      <c r="L70" s="96">
        <v>1</v>
      </c>
      <c r="M70" s="95">
        <v>45642</v>
      </c>
      <c r="N70" s="93" t="s">
        <v>140</v>
      </c>
      <c r="O70" s="93" t="s">
        <v>509</v>
      </c>
      <c r="P70" s="93" t="s">
        <v>586</v>
      </c>
      <c r="Q70" s="93" t="s">
        <v>83</v>
      </c>
    </row>
    <row r="71" spans="1:17" ht="32">
      <c r="A71" s="93" t="s">
        <v>587</v>
      </c>
      <c r="B71" s="93" t="s">
        <v>588</v>
      </c>
      <c r="C71" s="93" t="s">
        <v>329</v>
      </c>
      <c r="D71" s="94">
        <v>5400.18</v>
      </c>
      <c r="E71" s="94">
        <v>0</v>
      </c>
      <c r="F71" s="94" t="str">
        <f t="shared" si="2"/>
        <v>not same</v>
      </c>
      <c r="G71" s="95">
        <v>45349</v>
      </c>
      <c r="H71" s="93" t="s">
        <v>589</v>
      </c>
      <c r="I71" s="93" t="s">
        <v>296</v>
      </c>
      <c r="J71" s="96">
        <v>100</v>
      </c>
      <c r="K71" s="93" t="s">
        <v>303</v>
      </c>
      <c r="L71" s="96">
        <v>11</v>
      </c>
      <c r="M71" s="95">
        <v>45338</v>
      </c>
      <c r="N71" s="93" t="s">
        <v>130</v>
      </c>
      <c r="O71" s="93" t="s">
        <v>311</v>
      </c>
      <c r="P71" s="93" t="s">
        <v>590</v>
      </c>
      <c r="Q71" s="93" t="s">
        <v>83</v>
      </c>
    </row>
    <row r="72" spans="1:17" ht="32">
      <c r="A72" s="93" t="s">
        <v>591</v>
      </c>
      <c r="B72" s="93" t="s">
        <v>548</v>
      </c>
      <c r="C72" s="93" t="s">
        <v>396</v>
      </c>
      <c r="D72" s="94">
        <v>4680</v>
      </c>
      <c r="E72" s="94">
        <v>1638</v>
      </c>
      <c r="F72" s="94" t="str">
        <f t="shared" si="2"/>
        <v>not same</v>
      </c>
      <c r="G72" s="95">
        <v>45372</v>
      </c>
      <c r="H72" s="93" t="s">
        <v>592</v>
      </c>
      <c r="I72" s="93" t="s">
        <v>296</v>
      </c>
      <c r="J72" s="96">
        <v>100</v>
      </c>
      <c r="K72" s="93" t="s">
        <v>303</v>
      </c>
      <c r="L72" s="96">
        <v>9</v>
      </c>
      <c r="M72" s="95">
        <v>45363</v>
      </c>
      <c r="N72" s="93" t="s">
        <v>138</v>
      </c>
      <c r="O72" s="93" t="s">
        <v>509</v>
      </c>
      <c r="P72" s="93" t="s">
        <v>550</v>
      </c>
      <c r="Q72" s="93" t="s">
        <v>83</v>
      </c>
    </row>
    <row r="73" spans="1:17" ht="32">
      <c r="A73" s="93" t="s">
        <v>593</v>
      </c>
      <c r="B73" s="93" t="s">
        <v>594</v>
      </c>
      <c r="C73" s="93" t="s">
        <v>396</v>
      </c>
      <c r="D73" s="94">
        <v>4500</v>
      </c>
      <c r="E73" s="94">
        <v>1575</v>
      </c>
      <c r="F73" s="94" t="str">
        <f t="shared" si="2"/>
        <v>not same</v>
      </c>
      <c r="G73" s="95">
        <v>45372</v>
      </c>
      <c r="H73" s="93" t="s">
        <v>595</v>
      </c>
      <c r="I73" s="93" t="s">
        <v>296</v>
      </c>
      <c r="J73" s="96">
        <v>100</v>
      </c>
      <c r="K73" s="93" t="s">
        <v>303</v>
      </c>
      <c r="L73" s="96">
        <v>9</v>
      </c>
      <c r="M73" s="95">
        <v>45363</v>
      </c>
      <c r="N73" s="93" t="s">
        <v>145</v>
      </c>
      <c r="O73" s="93" t="s">
        <v>304</v>
      </c>
      <c r="P73" s="93" t="s">
        <v>596</v>
      </c>
      <c r="Q73" s="93" t="s">
        <v>83</v>
      </c>
    </row>
    <row r="74" spans="1:17" ht="32">
      <c r="A74" s="93" t="s">
        <v>597</v>
      </c>
      <c r="B74" s="93" t="s">
        <v>580</v>
      </c>
      <c r="C74" s="93" t="s">
        <v>396</v>
      </c>
      <c r="D74" s="94">
        <v>4355.68</v>
      </c>
      <c r="E74" s="94">
        <v>1524.49</v>
      </c>
      <c r="F74" s="94" t="str">
        <f t="shared" si="2"/>
        <v>not same</v>
      </c>
      <c r="G74" s="95">
        <v>45657</v>
      </c>
      <c r="H74" s="93" t="s">
        <v>598</v>
      </c>
      <c r="I74" s="93" t="s">
        <v>296</v>
      </c>
      <c r="J74" s="96">
        <v>100</v>
      </c>
      <c r="K74" s="93" t="s">
        <v>297</v>
      </c>
      <c r="L74" s="96">
        <v>22</v>
      </c>
      <c r="M74" s="95">
        <v>45635</v>
      </c>
      <c r="N74" s="93" t="s">
        <v>132</v>
      </c>
      <c r="O74" s="93" t="s">
        <v>311</v>
      </c>
      <c r="P74" s="93" t="s">
        <v>582</v>
      </c>
      <c r="Q74" s="93" t="s">
        <v>83</v>
      </c>
    </row>
    <row r="75" spans="1:17" ht="32">
      <c r="A75" s="93" t="s">
        <v>599</v>
      </c>
      <c r="B75" s="93" t="s">
        <v>600</v>
      </c>
      <c r="C75" s="93" t="s">
        <v>396</v>
      </c>
      <c r="D75" s="94">
        <v>3970</v>
      </c>
      <c r="E75" s="94">
        <v>1389.5</v>
      </c>
      <c r="F75" s="94" t="str">
        <f t="shared" si="2"/>
        <v>not same</v>
      </c>
      <c r="G75" s="95">
        <v>45380</v>
      </c>
      <c r="H75" s="93" t="s">
        <v>601</v>
      </c>
      <c r="I75" s="93" t="s">
        <v>296</v>
      </c>
      <c r="J75" s="96">
        <v>100</v>
      </c>
      <c r="K75" s="93" t="s">
        <v>303</v>
      </c>
      <c r="L75" s="96">
        <v>3</v>
      </c>
      <c r="M75" s="95">
        <v>45377</v>
      </c>
      <c r="N75" s="93" t="s">
        <v>143</v>
      </c>
      <c r="O75" s="93" t="s">
        <v>304</v>
      </c>
      <c r="P75" s="93" t="s">
        <v>602</v>
      </c>
      <c r="Q75" s="93" t="s">
        <v>83</v>
      </c>
    </row>
    <row r="76" spans="1:17" ht="48">
      <c r="A76" s="93" t="s">
        <v>603</v>
      </c>
      <c r="B76" s="93" t="s">
        <v>604</v>
      </c>
      <c r="C76" s="93" t="s">
        <v>396</v>
      </c>
      <c r="D76" s="94">
        <v>2600</v>
      </c>
      <c r="E76" s="94">
        <v>910</v>
      </c>
      <c r="F76" s="94" t="str">
        <f t="shared" si="2"/>
        <v>not same</v>
      </c>
      <c r="G76" s="95">
        <v>45657</v>
      </c>
      <c r="H76" s="93" t="s">
        <v>605</v>
      </c>
      <c r="I76" s="93" t="s">
        <v>296</v>
      </c>
      <c r="J76" s="96">
        <v>100</v>
      </c>
      <c r="K76" s="93" t="s">
        <v>297</v>
      </c>
      <c r="L76" s="96">
        <v>0</v>
      </c>
      <c r="M76" s="95">
        <v>45657</v>
      </c>
      <c r="N76" s="93" t="s">
        <v>146</v>
      </c>
      <c r="O76" s="93" t="s">
        <v>304</v>
      </c>
      <c r="P76" s="93" t="s">
        <v>606</v>
      </c>
      <c r="Q76" s="93" t="s">
        <v>83</v>
      </c>
    </row>
    <row r="77" spans="1:17" ht="32">
      <c r="A77" s="93" t="s">
        <v>607</v>
      </c>
      <c r="B77" s="93" t="s">
        <v>608</v>
      </c>
      <c r="C77" s="93" t="s">
        <v>396</v>
      </c>
      <c r="D77" s="94">
        <v>1840</v>
      </c>
      <c r="E77" s="94">
        <v>644</v>
      </c>
      <c r="F77" s="94" t="str">
        <f t="shared" si="2"/>
        <v>not same</v>
      </c>
      <c r="G77" s="95">
        <v>45614</v>
      </c>
      <c r="H77" s="93" t="s">
        <v>609</v>
      </c>
      <c r="I77" s="93" t="s">
        <v>296</v>
      </c>
      <c r="J77" s="96">
        <v>100</v>
      </c>
      <c r="K77" s="93" t="s">
        <v>297</v>
      </c>
      <c r="L77" s="96">
        <v>11</v>
      </c>
      <c r="M77" s="95">
        <v>45603</v>
      </c>
      <c r="N77" s="93" t="s">
        <v>132</v>
      </c>
      <c r="O77" s="93" t="s">
        <v>311</v>
      </c>
      <c r="P77" s="93" t="s">
        <v>610</v>
      </c>
      <c r="Q77" s="93" t="s">
        <v>83</v>
      </c>
    </row>
    <row r="78" spans="1:17" ht="32">
      <c r="A78" s="93" t="s">
        <v>611</v>
      </c>
      <c r="B78" s="93" t="s">
        <v>612</v>
      </c>
      <c r="C78" s="93" t="s">
        <v>396</v>
      </c>
      <c r="D78" s="94">
        <v>1500</v>
      </c>
      <c r="E78" s="94">
        <v>525</v>
      </c>
      <c r="F78" s="94" t="str">
        <f t="shared" si="2"/>
        <v>not same</v>
      </c>
      <c r="G78" s="95">
        <v>45440</v>
      </c>
      <c r="H78" s="93" t="s">
        <v>613</v>
      </c>
      <c r="I78" s="93" t="s">
        <v>296</v>
      </c>
      <c r="J78" s="96">
        <v>100</v>
      </c>
      <c r="K78" s="93" t="s">
        <v>310</v>
      </c>
      <c r="L78" s="96">
        <v>6</v>
      </c>
      <c r="M78" s="95">
        <v>45434</v>
      </c>
      <c r="N78" s="93" t="s">
        <v>132</v>
      </c>
      <c r="O78" s="93" t="s">
        <v>311</v>
      </c>
      <c r="P78" s="93" t="s">
        <v>614</v>
      </c>
      <c r="Q78" s="93" t="s">
        <v>83</v>
      </c>
    </row>
    <row r="79" spans="1:17" ht="32">
      <c r="A79" s="93" t="s">
        <v>615</v>
      </c>
      <c r="B79" s="93" t="s">
        <v>616</v>
      </c>
      <c r="C79" s="93" t="s">
        <v>396</v>
      </c>
      <c r="D79" s="94">
        <v>1500</v>
      </c>
      <c r="E79" s="94">
        <v>525</v>
      </c>
      <c r="F79" s="94" t="str">
        <f t="shared" si="2"/>
        <v>not same</v>
      </c>
      <c r="G79" s="95">
        <v>45562</v>
      </c>
      <c r="H79" s="93" t="s">
        <v>617</v>
      </c>
      <c r="I79" s="93" t="s">
        <v>296</v>
      </c>
      <c r="J79" s="96">
        <v>100</v>
      </c>
      <c r="K79" s="93" t="s">
        <v>325</v>
      </c>
      <c r="L79" s="96">
        <v>7</v>
      </c>
      <c r="M79" s="95">
        <v>45555</v>
      </c>
      <c r="N79" s="93" t="s">
        <v>137</v>
      </c>
      <c r="O79" s="93" t="s">
        <v>509</v>
      </c>
      <c r="P79" s="93" t="s">
        <v>618</v>
      </c>
      <c r="Q79" s="93" t="s">
        <v>83</v>
      </c>
    </row>
    <row r="80" spans="1:17" ht="32">
      <c r="A80" s="93" t="s">
        <v>619</v>
      </c>
      <c r="B80" s="93" t="s">
        <v>548</v>
      </c>
      <c r="C80" s="93" t="s">
        <v>396</v>
      </c>
      <c r="D80" s="94">
        <v>1200</v>
      </c>
      <c r="E80" s="94">
        <v>420</v>
      </c>
      <c r="F80" s="94" t="str">
        <f t="shared" si="2"/>
        <v>not same</v>
      </c>
      <c r="G80" s="95">
        <v>45555</v>
      </c>
      <c r="H80" s="93" t="s">
        <v>620</v>
      </c>
      <c r="I80" s="93" t="s">
        <v>296</v>
      </c>
      <c r="J80" s="96">
        <v>100</v>
      </c>
      <c r="K80" s="93" t="s">
        <v>325</v>
      </c>
      <c r="L80" s="96">
        <v>4</v>
      </c>
      <c r="M80" s="95">
        <v>45551</v>
      </c>
      <c r="N80" s="93" t="s">
        <v>136</v>
      </c>
      <c r="O80" s="93" t="s">
        <v>509</v>
      </c>
      <c r="P80" s="93" t="s">
        <v>550</v>
      </c>
      <c r="Q80" s="93" t="s">
        <v>83</v>
      </c>
    </row>
    <row r="81" spans="1:17" ht="32">
      <c r="A81" s="93" t="s">
        <v>621</v>
      </c>
      <c r="B81" s="93" t="s">
        <v>622</v>
      </c>
      <c r="C81" s="93" t="s">
        <v>396</v>
      </c>
      <c r="D81" s="94">
        <v>1000</v>
      </c>
      <c r="E81" s="94">
        <v>350</v>
      </c>
      <c r="F81" s="94" t="str">
        <f t="shared" si="2"/>
        <v>not same</v>
      </c>
      <c r="G81" s="95">
        <v>45322</v>
      </c>
      <c r="H81" s="93" t="s">
        <v>623</v>
      </c>
      <c r="I81" s="93" t="s">
        <v>296</v>
      </c>
      <c r="J81" s="96">
        <v>100</v>
      </c>
      <c r="K81" s="93" t="s">
        <v>303</v>
      </c>
      <c r="L81" s="96">
        <v>9</v>
      </c>
      <c r="M81" s="95">
        <v>45313</v>
      </c>
      <c r="N81" s="93" t="s">
        <v>624</v>
      </c>
      <c r="O81" s="93" t="s">
        <v>509</v>
      </c>
      <c r="P81" s="93" t="s">
        <v>625</v>
      </c>
      <c r="Q81" s="93" t="s">
        <v>83</v>
      </c>
    </row>
    <row r="82" spans="1:17" ht="32">
      <c r="A82" s="93" t="s">
        <v>626</v>
      </c>
      <c r="B82" s="93" t="s">
        <v>576</v>
      </c>
      <c r="C82" s="93" t="s">
        <v>396</v>
      </c>
      <c r="D82" s="94">
        <v>1000</v>
      </c>
      <c r="E82" s="94">
        <v>350</v>
      </c>
      <c r="F82" s="94" t="str">
        <f t="shared" si="2"/>
        <v>not same</v>
      </c>
      <c r="G82" s="95">
        <v>45412</v>
      </c>
      <c r="H82" s="93" t="s">
        <v>627</v>
      </c>
      <c r="I82" s="93" t="s">
        <v>296</v>
      </c>
      <c r="J82" s="96">
        <v>100</v>
      </c>
      <c r="K82" s="93" t="s">
        <v>310</v>
      </c>
      <c r="L82" s="96">
        <v>4</v>
      </c>
      <c r="M82" s="95">
        <v>45408</v>
      </c>
      <c r="N82" s="93" t="s">
        <v>128</v>
      </c>
      <c r="O82" s="93" t="s">
        <v>298</v>
      </c>
      <c r="P82" s="93" t="s">
        <v>578</v>
      </c>
      <c r="Q82" s="93" t="s">
        <v>83</v>
      </c>
    </row>
    <row r="83" spans="1:17" ht="32">
      <c r="A83" s="93" t="s">
        <v>628</v>
      </c>
      <c r="B83" s="93" t="s">
        <v>629</v>
      </c>
      <c r="C83" s="93" t="s">
        <v>396</v>
      </c>
      <c r="D83" s="94">
        <v>1000</v>
      </c>
      <c r="E83" s="94">
        <v>350</v>
      </c>
      <c r="F83" s="94" t="str">
        <f t="shared" si="2"/>
        <v>not same</v>
      </c>
      <c r="G83" s="95">
        <v>45425</v>
      </c>
      <c r="H83" s="93" t="s">
        <v>630</v>
      </c>
      <c r="I83" s="93" t="s">
        <v>296</v>
      </c>
      <c r="J83" s="96">
        <v>100</v>
      </c>
      <c r="K83" s="93" t="s">
        <v>310</v>
      </c>
      <c r="L83" s="96">
        <v>0</v>
      </c>
      <c r="M83" s="95">
        <v>45425</v>
      </c>
      <c r="N83" s="93" t="s">
        <v>143</v>
      </c>
      <c r="O83" s="93" t="s">
        <v>304</v>
      </c>
      <c r="P83" s="93" t="s">
        <v>631</v>
      </c>
      <c r="Q83" s="93" t="s">
        <v>83</v>
      </c>
    </row>
    <row r="84" spans="1:17" ht="32">
      <c r="A84" s="93" t="s">
        <v>632</v>
      </c>
      <c r="B84" s="93" t="s">
        <v>521</v>
      </c>
      <c r="C84" s="93" t="s">
        <v>396</v>
      </c>
      <c r="D84" s="94">
        <v>1000</v>
      </c>
      <c r="E84" s="94">
        <v>650</v>
      </c>
      <c r="F84" s="94" t="str">
        <f t="shared" si="2"/>
        <v>not same</v>
      </c>
      <c r="G84" s="95">
        <v>45440</v>
      </c>
      <c r="H84" s="93" t="s">
        <v>633</v>
      </c>
      <c r="I84" s="93" t="s">
        <v>296</v>
      </c>
      <c r="J84" s="96">
        <v>100</v>
      </c>
      <c r="K84" s="93" t="s">
        <v>310</v>
      </c>
      <c r="L84" s="96">
        <v>0</v>
      </c>
      <c r="M84" s="95">
        <v>45442</v>
      </c>
      <c r="N84" s="93" t="s">
        <v>147</v>
      </c>
      <c r="O84" s="93" t="s">
        <v>304</v>
      </c>
      <c r="P84" s="93" t="s">
        <v>523</v>
      </c>
      <c r="Q84" s="93" t="s">
        <v>83</v>
      </c>
    </row>
    <row r="85" spans="1:17" ht="32">
      <c r="A85" s="93" t="s">
        <v>634</v>
      </c>
      <c r="B85" s="93" t="s">
        <v>635</v>
      </c>
      <c r="C85" s="93" t="s">
        <v>396</v>
      </c>
      <c r="D85" s="94">
        <v>1000</v>
      </c>
      <c r="E85" s="94">
        <v>350</v>
      </c>
      <c r="F85" s="94" t="str">
        <f t="shared" si="2"/>
        <v>not same</v>
      </c>
      <c r="G85" s="95">
        <v>45513</v>
      </c>
      <c r="H85" s="93" t="s">
        <v>636</v>
      </c>
      <c r="I85" s="93" t="s">
        <v>296</v>
      </c>
      <c r="J85" s="96">
        <v>100</v>
      </c>
      <c r="K85" s="93" t="s">
        <v>325</v>
      </c>
      <c r="L85" s="96">
        <v>0</v>
      </c>
      <c r="M85" s="95">
        <v>45513</v>
      </c>
      <c r="N85" s="93" t="s">
        <v>128</v>
      </c>
      <c r="O85" s="93" t="s">
        <v>298</v>
      </c>
      <c r="P85" s="93" t="s">
        <v>637</v>
      </c>
      <c r="Q85" s="93" t="s">
        <v>83</v>
      </c>
    </row>
    <row r="86" spans="1:17" ht="32">
      <c r="A86" s="93" t="s">
        <v>638</v>
      </c>
      <c r="B86" s="93" t="s">
        <v>639</v>
      </c>
      <c r="C86" s="93" t="s">
        <v>396</v>
      </c>
      <c r="D86" s="94">
        <v>1000</v>
      </c>
      <c r="E86" s="94">
        <v>350</v>
      </c>
      <c r="F86" s="94" t="str">
        <f t="shared" si="2"/>
        <v>not same</v>
      </c>
      <c r="G86" s="95">
        <v>45594</v>
      </c>
      <c r="H86" s="93" t="s">
        <v>640</v>
      </c>
      <c r="I86" s="93" t="s">
        <v>296</v>
      </c>
      <c r="J86" s="96">
        <v>100</v>
      </c>
      <c r="K86" s="93" t="s">
        <v>297</v>
      </c>
      <c r="L86" s="96">
        <v>5</v>
      </c>
      <c r="M86" s="95">
        <v>45589</v>
      </c>
      <c r="N86" s="93" t="s">
        <v>131</v>
      </c>
      <c r="O86" s="93" t="s">
        <v>311</v>
      </c>
      <c r="P86" s="93" t="s">
        <v>641</v>
      </c>
      <c r="Q86" s="93" t="s">
        <v>83</v>
      </c>
    </row>
    <row r="87" spans="1:17" ht="32">
      <c r="A87" s="93" t="s">
        <v>642</v>
      </c>
      <c r="B87" s="93" t="s">
        <v>584</v>
      </c>
      <c r="C87" s="93" t="s">
        <v>396</v>
      </c>
      <c r="D87" s="94">
        <v>1000</v>
      </c>
      <c r="E87" s="94">
        <v>350</v>
      </c>
      <c r="F87" s="94" t="str">
        <f t="shared" si="2"/>
        <v>not same</v>
      </c>
      <c r="G87" s="95">
        <v>45643</v>
      </c>
      <c r="H87" s="93" t="s">
        <v>643</v>
      </c>
      <c r="I87" s="93" t="s">
        <v>296</v>
      </c>
      <c r="J87" s="96">
        <v>100</v>
      </c>
      <c r="K87" s="93" t="s">
        <v>297</v>
      </c>
      <c r="L87" s="96">
        <v>1</v>
      </c>
      <c r="M87" s="95">
        <v>45642</v>
      </c>
      <c r="N87" s="93" t="s">
        <v>140</v>
      </c>
      <c r="O87" s="93" t="s">
        <v>509</v>
      </c>
      <c r="P87" s="93" t="s">
        <v>586</v>
      </c>
      <c r="Q87" s="93" t="s">
        <v>83</v>
      </c>
    </row>
    <row r="88" spans="1:17" ht="32">
      <c r="A88" s="93" t="s">
        <v>644</v>
      </c>
      <c r="B88" s="93" t="s">
        <v>594</v>
      </c>
      <c r="C88" s="93" t="s">
        <v>396</v>
      </c>
      <c r="D88" s="94">
        <v>833</v>
      </c>
      <c r="E88" s="94">
        <v>291.55</v>
      </c>
      <c r="F88" s="94" t="str">
        <f t="shared" si="2"/>
        <v>not same</v>
      </c>
      <c r="G88" s="95">
        <v>45372</v>
      </c>
      <c r="H88" s="93" t="s">
        <v>645</v>
      </c>
      <c r="I88" s="93" t="s">
        <v>296</v>
      </c>
      <c r="J88" s="96">
        <v>100</v>
      </c>
      <c r="K88" s="93" t="s">
        <v>303</v>
      </c>
      <c r="L88" s="96">
        <v>9</v>
      </c>
      <c r="M88" s="95">
        <v>45363</v>
      </c>
      <c r="N88" s="93" t="s">
        <v>145</v>
      </c>
      <c r="O88" s="93" t="s">
        <v>304</v>
      </c>
      <c r="P88" s="93" t="s">
        <v>596</v>
      </c>
      <c r="Q88" s="93" t="s">
        <v>83</v>
      </c>
    </row>
  </sheetData>
  <autoFilter ref="A1:Q2716" xr:uid="{BE1FF7FE-1D41-4A1B-BC9E-3618E73A5F47}">
    <sortState xmlns:xlrd2="http://schemas.microsoft.com/office/spreadsheetml/2017/richdata2" ref="A2:Q2716">
      <sortCondition descending="1" ref="D1:D2716"/>
    </sortState>
  </autoFilter>
  <pageMargins left="0.75" right="0.75" top="1" bottom="1" header="0.5" footer="0.5"/>
  <customProperties>
    <customPr name="_pios_id" r:id="rId1"/>
  </customPropertie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V2 MD Division Model USD 2-4-25</vt:lpstr>
      <vt:lpstr>Leader Quotas with Linearity</vt:lpstr>
      <vt:lpstr>Individual Quotas</vt:lpstr>
      <vt:lpstr>CSE Quotas with Linearity</vt:lpstr>
      <vt:lpstr>Quotas Summary</vt:lpstr>
      <vt:lpstr>Sheet1</vt:lpstr>
      <vt:lpstr>Additional Overassign</vt:lpstr>
      <vt:lpstr>Calc</vt:lpstr>
      <vt:lpstr>Premier Sales Credit calc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Choudhary, Naman</dc:creator>
  <cp:keywords/>
  <dc:description/>
  <cp:lastModifiedBy>Downs, Tim</cp:lastModifiedBy>
  <cp:revision/>
  <dcterms:created xsi:type="dcterms:W3CDTF">2025-02-04T19:27:01Z</dcterms:created>
  <dcterms:modified xsi:type="dcterms:W3CDTF">2026-06-23T11:49:05Z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8</vt:lpwstr>
  </property>
</Properties>
</file>